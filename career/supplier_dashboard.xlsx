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L_Listing" sheetId="2" state="visible" r:id="rId2"/>
    <sheet name="VENDMAST" sheetId="3" state="visible" r:id="rId3"/>
    <sheet name="Retail_Team" sheetId="4" state="visible" r:id="rId4"/>
    <sheet name="_Calc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EUR &quot;#,##0"/>
    <numFmt numFmtId="165" formatCode="0.0%"/>
    <numFmt numFmtId="166" formatCode="DD-MMM-YY"/>
    <numFmt numFmtId="167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AAAAAA"/>
      <sz val="9"/>
    </font>
    <font>
      <name val="Calibri"/>
      <b val="1"/>
      <color rgb="00888888"/>
      <sz val="8"/>
    </font>
    <font>
      <name val="Calibri"/>
      <b val="1"/>
      <color rgb="002471A3"/>
      <sz val="20"/>
    </font>
    <font>
      <name val="Calibri"/>
      <i val="1"/>
      <color rgb="005A6678"/>
      <sz val="8"/>
    </font>
    <font>
      <name val="Calibri"/>
      <b val="1"/>
      <color rgb="00C0392B"/>
      <sz val="20"/>
    </font>
    <font>
      <name val="Calibri"/>
      <b val="1"/>
      <color rgb="00B8860B"/>
      <sz val="20"/>
    </font>
    <font>
      <name val="Calibri"/>
      <b val="1"/>
      <color rgb="002D6A4F"/>
      <sz val="20"/>
    </font>
    <font>
      <name val="Calibri"/>
      <b val="1"/>
      <color rgb="001A2332"/>
      <sz val="11"/>
    </font>
    <font>
      <name val="Calibri"/>
      <b val="1"/>
      <color rgb="00FFFFFF"/>
      <sz val="9"/>
    </font>
    <font>
      <name val="Calibri"/>
      <color rgb="001A2332"/>
      <sz val="9"/>
    </font>
    <font>
      <name val="Calibri"/>
      <i val="1"/>
      <color rgb="005A6678"/>
      <sz val="9"/>
    </font>
    <font>
      <name val="Calibri"/>
      <b val="1"/>
      <color rgb="00FFFFFF"/>
      <sz val="10"/>
    </font>
    <font>
      <name val="Calibri"/>
      <b val="1"/>
      <color rgb="00C0392B"/>
      <sz val="9"/>
    </font>
    <font>
      <name val="Calibri"/>
      <b val="1"/>
      <color rgb="002D6A4F"/>
      <sz val="9"/>
    </font>
    <font>
      <name val="Calibri"/>
      <b val="1"/>
      <color rgb="001A2332"/>
      <sz val="9"/>
    </font>
  </fonts>
  <fills count="11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8F5F0"/>
      </patternFill>
    </fill>
    <fill>
      <patternFill patternType="solid">
        <fgColor rgb="00FFF5F5"/>
      </patternFill>
    </fill>
    <fill>
      <patternFill patternType="solid">
        <fgColor rgb="00FFFDF8"/>
      </patternFill>
    </fill>
    <fill>
      <patternFill patternType="solid">
        <fgColor rgb="002F6F6A"/>
      </patternFill>
    </fill>
    <fill>
      <patternFill patternType="solid">
        <fgColor rgb="00F0FFF4"/>
      </patternFill>
    </fill>
    <fill>
      <patternFill patternType="solid">
        <fgColor rgb="00B8860B"/>
      </patternFill>
    </fill>
    <fill>
      <patternFill patternType="solid">
        <fgColor rgb="002471A3"/>
      </patternFill>
    </fill>
    <fill>
      <patternFill patternType="solid">
        <fgColor rgb="00F5F5F5"/>
      </patternFill>
    </fill>
  </fills>
  <borders count="34">
    <border>
      <left/>
      <right/>
      <top/>
      <bottom/>
      <diagonal/>
    </border>
    <border>
      <left style="thick">
        <color rgb="002471A3"/>
      </left>
      <right/>
      <top style="thin">
        <color rgb="00E2D9CB"/>
      </top>
      <bottom/>
    </border>
    <border>
      <left/>
      <right style="thin">
        <color rgb="00E2D9CB"/>
      </right>
      <top style="thin">
        <color rgb="00E2D9CB"/>
      </top>
      <bottom/>
    </border>
    <border>
      <left style="thick">
        <color rgb="002471A3"/>
      </left>
      <right/>
      <top/>
      <bottom/>
    </border>
    <border>
      <left/>
      <right style="thin">
        <color rgb="00E2D9CB"/>
      </right>
      <top/>
      <bottom/>
    </border>
    <border>
      <left style="thick">
        <color rgb="002471A3"/>
      </left>
      <right/>
      <top/>
      <bottom style="thin">
        <color rgb="00E2D9CB"/>
      </bottom>
    </border>
    <border>
      <left/>
      <right style="thin">
        <color rgb="00E2D9CB"/>
      </right>
      <top/>
      <bottom style="thin">
        <color rgb="00E2D9CB"/>
      </bottom>
    </border>
    <border>
      <left style="thick">
        <color rgb="002471A3"/>
      </left>
      <right style="thin">
        <color rgb="00E2D9CB"/>
      </right>
      <top style="thin">
        <color rgb="00E2D9CB"/>
      </top>
      <bottom/>
    </border>
    <border>
      <left/>
      <right/>
      <top style="thin">
        <color rgb="00E2D9CB"/>
      </top>
      <bottom/>
      <diagonal/>
    </border>
    <border>
      <left/>
      <right style="thin">
        <color rgb="00E2D9CB"/>
      </right>
      <top style="thin">
        <color rgb="00E2D9CB"/>
      </top>
      <bottom/>
      <diagonal/>
    </border>
    <border>
      <left style="thick">
        <color rgb="002471A3"/>
      </left>
      <right style="thin">
        <color rgb="00E2D9CB"/>
      </right>
      <top/>
      <bottom/>
    </border>
    <border>
      <left/>
      <right style="thin">
        <color rgb="00E2D9CB"/>
      </right>
      <top/>
      <bottom/>
      <diagonal/>
    </border>
    <border>
      <left style="thick">
        <color rgb="002471A3"/>
      </left>
      <right style="thin">
        <color rgb="00E2D9CB"/>
      </right>
      <top/>
      <bottom style="thin">
        <color rgb="00E2D9CB"/>
      </bottom>
    </border>
    <border>
      <left/>
      <right style="thin">
        <color rgb="00E2D9CB"/>
      </right>
      <top/>
      <bottom style="thin">
        <color rgb="00E2D9CB"/>
      </bottom>
      <diagonal/>
    </border>
    <border>
      <left style="thick">
        <color rgb="00C0392B"/>
      </left>
      <right/>
      <top style="thin">
        <color rgb="00E2D9CB"/>
      </top>
      <bottom/>
    </border>
    <border>
      <left style="thick">
        <color rgb="00C0392B"/>
      </left>
      <right/>
      <top/>
      <bottom/>
    </border>
    <border>
      <left style="thick">
        <color rgb="00C0392B"/>
      </left>
      <right/>
      <top/>
      <bottom style="thin">
        <color rgb="00E2D9CB"/>
      </bottom>
    </border>
    <border>
      <left style="thick">
        <color rgb="00C0392B"/>
      </left>
      <right style="thin">
        <color rgb="00E2D9CB"/>
      </right>
      <top style="thin">
        <color rgb="00E2D9CB"/>
      </top>
      <bottom/>
    </border>
    <border>
      <left style="thick">
        <color rgb="00C0392B"/>
      </left>
      <right style="thin">
        <color rgb="00E2D9CB"/>
      </right>
      <top/>
      <bottom/>
    </border>
    <border>
      <left style="thick">
        <color rgb="00C0392B"/>
      </left>
      <right style="thin">
        <color rgb="00E2D9CB"/>
      </right>
      <top/>
      <bottom style="thin">
        <color rgb="00E2D9CB"/>
      </bottom>
    </border>
    <border>
      <left style="thick">
        <color rgb="00B8860B"/>
      </left>
      <right/>
      <top style="thin">
        <color rgb="00E2D9CB"/>
      </top>
      <bottom/>
    </border>
    <border>
      <left style="thick">
        <color rgb="00B8860B"/>
      </left>
      <right/>
      <top/>
      <bottom/>
    </border>
    <border>
      <left style="thick">
        <color rgb="00B8860B"/>
      </left>
      <right/>
      <top/>
      <bottom style="thin">
        <color rgb="00E2D9CB"/>
      </bottom>
    </border>
    <border>
      <left style="thick">
        <color rgb="00B8860B"/>
      </left>
      <right style="thin">
        <color rgb="00E2D9CB"/>
      </right>
      <top style="thin">
        <color rgb="00E2D9CB"/>
      </top>
      <bottom/>
    </border>
    <border>
      <left style="thick">
        <color rgb="00B8860B"/>
      </left>
      <right style="thin">
        <color rgb="00E2D9CB"/>
      </right>
      <top/>
      <bottom/>
    </border>
    <border>
      <left style="thick">
        <color rgb="00B8860B"/>
      </left>
      <right style="thin">
        <color rgb="00E2D9CB"/>
      </right>
      <top/>
      <bottom style="thin">
        <color rgb="00E2D9CB"/>
      </bottom>
    </border>
    <border>
      <left style="thick">
        <color rgb="002D6A4F"/>
      </left>
      <right/>
      <top style="thin">
        <color rgb="00E2D9CB"/>
      </top>
      <bottom/>
    </border>
    <border>
      <left style="thick">
        <color rgb="002D6A4F"/>
      </left>
      <right/>
      <top/>
      <bottom/>
    </border>
    <border>
      <left style="thick">
        <color rgb="002D6A4F"/>
      </left>
      <right/>
      <top/>
      <bottom style="thin">
        <color rgb="00E2D9CB"/>
      </bottom>
    </border>
    <border>
      <left style="thick">
        <color rgb="002D6A4F"/>
      </left>
      <right style="thin">
        <color rgb="00E2D9CB"/>
      </right>
      <top style="thin">
        <color rgb="00E2D9CB"/>
      </top>
      <bottom/>
    </border>
    <border>
      <left style="thick">
        <color rgb="002D6A4F"/>
      </left>
      <right style="thin">
        <color rgb="00E2D9CB"/>
      </right>
      <top/>
      <bottom/>
    </border>
    <border>
      <left style="thick">
        <color rgb="002D6A4F"/>
      </left>
      <right style="thin">
        <color rgb="00E2D9CB"/>
      </right>
      <top/>
      <bottom style="thin">
        <color rgb="00E2D9CB"/>
      </bottom>
    </border>
    <border>
      <left style="thin">
        <color rgb="005A6678"/>
      </left>
      <right style="thin">
        <color rgb="005A6678"/>
      </right>
      <top style="thin">
        <color rgb="005A6678"/>
      </top>
      <bottom style="thin">
        <color rgb="005A6678"/>
      </bottom>
    </border>
    <border>
      <left style="thin">
        <color rgb="00E2D9CB"/>
      </left>
      <right style="thin">
        <color rgb="00E2D9CB"/>
      </right>
      <top style="thin">
        <color rgb="00E2D9CB"/>
      </top>
      <bottom style="thin">
        <color rgb="00E2D9CB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7" pivotButton="0" quotePrefix="0" xfId="0"/>
    <xf numFmtId="0" fontId="0" fillId="0" borderId="9" pivotButton="0" quotePrefix="0" xfId="0"/>
    <xf numFmtId="0" fontId="0" fillId="3" borderId="17" pivotButton="0" quotePrefix="0" xfId="0"/>
    <xf numFmtId="0" fontId="0" fillId="3" borderId="23" pivotButton="0" quotePrefix="0" xfId="0"/>
    <xf numFmtId="0" fontId="0" fillId="3" borderId="29" pivotButton="0" quotePrefix="0" xfId="0"/>
    <xf numFmtId="0" fontId="3" fillId="3" borderId="10" applyAlignment="1" pivotButton="0" quotePrefix="0" xfId="0">
      <alignment horizontal="center" vertical="center"/>
    </xf>
    <xf numFmtId="0" fontId="0" fillId="0" borderId="11" pivotButton="0" quotePrefix="0" xfId="0"/>
    <xf numFmtId="0" fontId="3" fillId="3" borderId="18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164" fontId="4" fillId="3" borderId="10" applyAlignment="1" pivotButton="0" quotePrefix="0" xfId="0">
      <alignment horizontal="center" vertical="center"/>
    </xf>
    <xf numFmtId="164" fontId="6" fillId="3" borderId="18" applyAlignment="1" pivotButton="0" quotePrefix="0" xfId="0">
      <alignment horizontal="center" vertical="center"/>
    </xf>
    <xf numFmtId="1" fontId="7" fillId="3" borderId="24" applyAlignment="1" pivotButton="0" quotePrefix="0" xfId="0">
      <alignment horizontal="center" vertical="center"/>
    </xf>
    <xf numFmtId="165" fontId="8" fillId="3" borderId="30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/>
    </xf>
    <xf numFmtId="0" fontId="5" fillId="3" borderId="18" applyAlignment="1" pivotButton="0" quotePrefix="0" xfId="0">
      <alignment horizontal="center" vertical="center"/>
    </xf>
    <xf numFmtId="0" fontId="5" fillId="3" borderId="24" applyAlignment="1" pivotButton="0" quotePrefix="0" xfId="0">
      <alignment horizontal="center" vertical="center"/>
    </xf>
    <xf numFmtId="0" fontId="5" fillId="3" borderId="30" applyAlignment="1" pivotButton="0" quotePrefix="0" xfId="0">
      <alignment horizontal="center" vertical="center"/>
    </xf>
    <xf numFmtId="0" fontId="0" fillId="3" borderId="10" pivotButton="0" quotePrefix="0" xfId="0"/>
    <xf numFmtId="0" fontId="0" fillId="3" borderId="18" pivotButton="0" quotePrefix="0" xfId="0"/>
    <xf numFmtId="0" fontId="0" fillId="3" borderId="24" pivotButton="0" quotePrefix="0" xfId="0"/>
    <xf numFmtId="0" fontId="0" fillId="3" borderId="30" pivotButton="0" quotePrefix="0" xfId="0"/>
    <xf numFmtId="0" fontId="0" fillId="3" borderId="12" pivotButton="0" quotePrefix="0" xfId="0"/>
    <xf numFmtId="0" fontId="0" fillId="0" borderId="13" pivotButton="0" quotePrefix="0" xfId="0"/>
    <xf numFmtId="0" fontId="0" fillId="3" borderId="19" pivotButton="0" quotePrefix="0" xfId="0"/>
    <xf numFmtId="0" fontId="0" fillId="3" borderId="25" pivotButton="0" quotePrefix="0" xfId="0"/>
    <xf numFmtId="0" fontId="0" fillId="3" borderId="31" pivotButton="0" quotePrefix="0" xfId="0"/>
    <xf numFmtId="0" fontId="9" fillId="0" borderId="0" applyAlignment="1" pivotButton="0" quotePrefix="0" xfId="0">
      <alignment horizontal="left" vertical="center"/>
    </xf>
    <xf numFmtId="0" fontId="10" fillId="2" borderId="32" applyAlignment="1" pivotButton="0" quotePrefix="0" xfId="0">
      <alignment horizontal="center" vertical="center"/>
    </xf>
    <xf numFmtId="0" fontId="11" fillId="4" borderId="33" applyAlignment="1" pivotButton="0" quotePrefix="0" xfId="0">
      <alignment horizontal="left" vertical="center"/>
    </xf>
    <xf numFmtId="0" fontId="11" fillId="4" borderId="33" applyAlignment="1" pivotButton="0" quotePrefix="0" xfId="0">
      <alignment horizontal="center" vertical="center"/>
    </xf>
    <xf numFmtId="166" fontId="11" fillId="4" borderId="33" applyAlignment="1" pivotButton="0" quotePrefix="0" xfId="0">
      <alignment horizontal="center" vertical="center"/>
    </xf>
    <xf numFmtId="1" fontId="11" fillId="4" borderId="33" applyAlignment="1" pivotButton="0" quotePrefix="0" xfId="0">
      <alignment horizontal="center" vertical="center"/>
    </xf>
    <xf numFmtId="4" fontId="11" fillId="4" borderId="33" applyAlignment="1" pivotButton="0" quotePrefix="0" xfId="0">
      <alignment horizontal="right" vertical="center"/>
    </xf>
    <xf numFmtId="0" fontId="11" fillId="5" borderId="33" applyAlignment="1" pivotButton="0" quotePrefix="0" xfId="0">
      <alignment horizontal="left" vertical="center"/>
    </xf>
    <xf numFmtId="0" fontId="11" fillId="5" borderId="33" applyAlignment="1" pivotButton="0" quotePrefix="0" xfId="0">
      <alignment horizontal="center" vertical="center"/>
    </xf>
    <xf numFmtId="166" fontId="11" fillId="5" borderId="33" applyAlignment="1" pivotButton="0" quotePrefix="0" xfId="0">
      <alignment horizontal="center" vertical="center"/>
    </xf>
    <xf numFmtId="1" fontId="11" fillId="5" borderId="33" applyAlignment="1" pivotButton="0" quotePrefix="0" xfId="0">
      <alignment horizontal="center" vertical="center"/>
    </xf>
    <xf numFmtId="4" fontId="11" fillId="5" borderId="3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3" fillId="6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4" fontId="11" fillId="4" borderId="0" applyAlignment="1" pivotButton="0" quotePrefix="0" xfId="0">
      <alignment horizontal="right" vertical="center"/>
    </xf>
    <xf numFmtId="166" fontId="11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4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 vertical="center"/>
    </xf>
    <xf numFmtId="4" fontId="11" fillId="5" borderId="0" applyAlignment="1" pivotButton="0" quotePrefix="0" xfId="0">
      <alignment horizontal="right" vertical="center"/>
    </xf>
    <xf numFmtId="166" fontId="11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" fontId="14" fillId="0" borderId="0" applyAlignment="1" pivotButton="0" quotePrefix="0" xfId="0">
      <alignment horizontal="right" vertical="center"/>
    </xf>
    <xf numFmtId="0" fontId="13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4" fontId="11" fillId="10" borderId="0" applyAlignment="1" pivotButton="0" quotePrefix="0" xfId="0">
      <alignment horizontal="right" vertical="center"/>
    </xf>
    <xf numFmtId="3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'_Calc'!E1</f>
            </strRef>
          </tx>
          <spPr>
            <a:solidFill>
              <a:srgbClr val="C45C26"/>
            </a:solidFill>
            <a:ln>
              <a:solidFill>
                <a:srgbClr val="C45C26"/>
              </a:solidFill>
              <a:prstDash val="solid"/>
            </a:ln>
          </spPr>
          <cat>
            <numRef>
              <f>'_Calc'!$D$2:$D$6</f>
            </numRef>
          </cat>
          <val>
            <numRef>
              <f>'_Calc'!$E$2:$E$6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EUR 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'_Calc'!H1</f>
            </strRef>
          </tx>
          <spPr>
            <a:ln w="25000">
              <a:solidFill>
                <a:srgbClr val="2F6F6A"/>
              </a:solidFill>
              <a:prstDash val="solid"/>
            </a:ln>
          </spPr>
          <marker>
            <symbol val="circle"/>
            <size val="5"/>
            <spPr>
              <a:solidFill>
                <a:srgbClr val="2F6F6A"/>
              </a:solidFill>
              <a:ln>
                <a:solidFill>
                  <a:srgbClr val="2F6F6A"/>
                </a:solidFill>
                <a:prstDash val="solid"/>
              </a:ln>
            </spPr>
          </marker>
          <cat>
            <numRef>
              <f>'_Calc'!$G$2:$G$8</f>
            </numRef>
          </cat>
          <val>
            <numRef>
              <f>'_Calc'!$H$2:$H$8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EUR 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2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52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L_Data" displayName="GL_Data" ref="A1:L134" headerRowCount="1">
  <autoFilter ref="A1:L134"/>
  <tableColumns count="12">
    <tableColumn id="1" name="Journal Description"/>
    <tableColumn id="2" name="Supplier Code"/>
    <tableColumn id="3" name="Supplier Name"/>
    <tableColumn id="4" name="Amount (EUR)"/>
    <tableColumn id="5" name="Currency"/>
    <tableColumn id="6" name="Invoice Date"/>
    <tableColumn id="7" name="Due Date"/>
    <tableColumn id="8" name="Category"/>
    <tableColumn id="9" name="GL Code"/>
    <tableColumn id="10" name="PO Number"/>
    <tableColumn id="11" name="Status"/>
    <tableColumn id="12" name="Days Past Due"/>
  </tableColumns>
  <tableStyleInfo name="TableStyleMedium2" showRowStripes="1"/>
</table>
</file>

<file path=xl/tables/table2.xml><?xml version="1.0" encoding="utf-8"?>
<table xmlns="http://schemas.openxmlformats.org/spreadsheetml/2006/main" id="2" name="VENDMAST_Data" displayName="VENDMAST_Data" ref="A1:F11" headerRowCount="1">
  <autoFilter ref="A1:F11"/>
  <tableColumns count="6">
    <tableColumn id="1" name="Supplier Code"/>
    <tableColumn id="2" name="Supplier Name"/>
    <tableColumn id="3" name="AP Balance (EUR)"/>
    <tableColumn id="4" name="Currency"/>
    <tableColumn id="5" name="Payment Method"/>
    <tableColumn id="6" name="Payment Terms (days)"/>
  </tableColumns>
  <tableStyleInfo name="TableStyleMedium3" showRowStripes="1"/>
</table>
</file>

<file path=xl/tables/table3.xml><?xml version="1.0" encoding="utf-8"?>
<table xmlns="http://schemas.openxmlformats.org/spreadsheetml/2006/main" id="3" name="Retail_Data" displayName="Retail_Data" ref="A1:F71" headerRowCount="1">
  <autoFilter ref="A1:F71"/>
  <tableColumns count="6">
    <tableColumn id="1" name="Period"/>
    <tableColumn id="2" name="Supplier Name"/>
    <tableColumn id="3" name="Category"/>
    <tableColumn id="4" name="GL Code"/>
    <tableColumn id="5" name="PO Number"/>
    <tableColumn id="6" name="Budget (EUR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C45C26"/>
    <outlinePr summaryBelow="1" summaryRight="1"/>
    <pageSetUpPr/>
  </sheetPr>
  <dimension ref="A1:J5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40" customHeight="1">
      <c r="A2" s="1" t="n"/>
      <c r="B2" s="2" t="inlineStr">
        <is>
          <t>Supplier Management Dashboard</t>
        </is>
      </c>
      <c r="J2" s="1" t="n"/>
    </row>
    <row r="3" ht="20" customHeight="1">
      <c r="A3" s="1" t="n"/>
      <c r="B3" s="3">
        <f>"As of "&amp;TEXT(TODAY(),"DD MMMM YYYY")&amp;"   ·   Sources: GL Listing  ·  VENDMAST  ·  Retail Budget"</f>
        <v/>
      </c>
      <c r="J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10" customHeight="1">
      <c r="B5" s="4" t="n"/>
      <c r="C5" s="5" t="n"/>
      <c r="D5" s="6" t="n"/>
      <c r="E5" s="5" t="n"/>
      <c r="F5" s="7" t="n"/>
      <c r="G5" s="5" t="n"/>
      <c r="H5" s="8" t="n"/>
      <c r="I5" s="5" t="n"/>
    </row>
    <row r="6" ht="18" customHeight="1">
      <c r="B6" s="9" t="inlineStr">
        <is>
          <t>Total Outstanding</t>
        </is>
      </c>
      <c r="C6" s="10" t="n"/>
      <c r="D6" s="11" t="inlineStr">
        <is>
          <t>Overdue Amount</t>
        </is>
      </c>
      <c r="E6" s="10" t="n"/>
      <c r="F6" s="12" t="inlineStr">
        <is>
          <t>Overdue Invoices</t>
        </is>
      </c>
      <c r="G6" s="10" t="n"/>
      <c r="H6" s="13" t="inlineStr">
        <is>
          <t>On-Time Payment</t>
        </is>
      </c>
      <c r="I6" s="10" t="n"/>
    </row>
    <row r="7" ht="38" customHeight="1">
      <c r="B7" s="14">
        <f>SUMIF(GL_Data[Status],"&lt;&gt;Paid",GL_Data[Amount (EUR)])</f>
        <v/>
      </c>
      <c r="C7" s="10" t="n"/>
      <c r="D7" s="15">
        <f>SUMIF(GL_Data[Status],"Overdue",GL_Data[Amount (EUR)])</f>
        <v/>
      </c>
      <c r="E7" s="10" t="n"/>
      <c r="F7" s="16">
        <f>COUNTIF(GL_Data[Status],"Overdue")</f>
        <v/>
      </c>
      <c r="G7" s="10" t="n"/>
      <c r="H7" s="17">
        <f>IFERROR(COUNTIF(GL_Data[Status],"Paid")/COUNTA(GL_Data[Status]),0)</f>
        <v/>
      </c>
      <c r="I7" s="10" t="n"/>
    </row>
    <row r="8" ht="18" customHeight="1">
      <c r="B8" s="18">
        <f>COUNTIF(GL_Data[Status],"&lt;&gt;Paid")&amp;" open invoices"</f>
        <v/>
      </c>
      <c r="C8" s="10" t="n"/>
      <c r="D8" s="19">
        <f>COUNTIF(GL_Data[Status],"Overdue")&amp;" invoices past due"</f>
        <v/>
      </c>
      <c r="E8" s="10" t="n"/>
      <c r="F8" s="20">
        <f>"out of "&amp;COUNTA(GL_Data[Status])&amp;" total invoices"</f>
        <v/>
      </c>
      <c r="G8" s="10" t="n"/>
      <c r="H8" s="21">
        <f>COUNTIF(GL_Data[Status],"Paid")&amp;" invoices paid on time"</f>
        <v/>
      </c>
      <c r="I8" s="10" t="n"/>
    </row>
    <row r="9" ht="14" customHeight="1">
      <c r="B9" s="22" t="n"/>
      <c r="C9" s="10" t="n"/>
      <c r="D9" s="23" t="n"/>
      <c r="E9" s="10" t="n"/>
      <c r="F9" s="24" t="n"/>
      <c r="G9" s="10" t="n"/>
      <c r="H9" s="25" t="n"/>
      <c r="I9" s="10" t="n"/>
    </row>
    <row r="10" ht="10" customHeight="1">
      <c r="B10" s="22" t="n"/>
      <c r="C10" s="10" t="n"/>
      <c r="D10" s="23" t="n"/>
      <c r="E10" s="10" t="n"/>
      <c r="F10" s="24" t="n"/>
      <c r="G10" s="10" t="n"/>
      <c r="H10" s="25" t="n"/>
      <c r="I10" s="10" t="n"/>
    </row>
    <row r="11" ht="10" customHeight="1">
      <c r="B11" s="26" t="n"/>
      <c r="C11" s="27" t="n"/>
      <c r="D11" s="28" t="n"/>
      <c r="E11" s="27" t="n"/>
      <c r="F11" s="29" t="n"/>
      <c r="G11" s="27" t="n"/>
      <c r="H11" s="30" t="n"/>
      <c r="I11" s="27" t="n"/>
    </row>
    <row r="12" ht="10" customHeight="1"/>
    <row r="13" ht="22" customHeight="1">
      <c r="B13" s="31" t="inlineStr">
        <is>
          <t>Top 5 Overdue Suppliers</t>
        </is>
      </c>
      <c r="F13" s="31" t="inlineStr">
        <is>
          <t>Monthly Invoiced Amount Trend</t>
        </is>
      </c>
    </row>
    <row r="36" ht="10" customHeight="1">
      <c r="B36" s="31" t="inlineStr">
        <is>
          <t>Overdue Invoice Detail  (sorted by days overdue — requires Excel 365)</t>
        </is>
      </c>
    </row>
    <row r="37" ht="22" customHeight="1">
      <c r="B37" s="32" t="inlineStr">
        <is>
          <t>Supplier</t>
        </is>
      </c>
      <c r="C37" s="32" t="inlineStr">
        <is>
          <t>Category</t>
        </is>
      </c>
      <c r="D37" s="32" t="inlineStr">
        <is>
          <t>Invoice Date</t>
        </is>
      </c>
      <c r="E37" s="32" t="inlineStr">
        <is>
          <t>Due Date</t>
        </is>
      </c>
      <c r="F37" s="32" t="inlineStr">
        <is>
          <t>Days Past Due</t>
        </is>
      </c>
      <c r="G37" s="32" t="inlineStr">
        <is>
          <t>Amount (EUR)</t>
        </is>
      </c>
      <c r="H37" s="32" t="inlineStr">
        <is>
          <t>Status</t>
        </is>
      </c>
    </row>
    <row r="38" ht="16" customHeight="1">
      <c r="B38" s="33">
        <f>IFERROR(_Calc!$A$15,"")</f>
        <v/>
      </c>
      <c r="C38" s="34">
        <f>IFERROR(_Calc!$B$15,"")</f>
        <v/>
      </c>
      <c r="D38" s="35">
        <f>IFERROR(_Calc!$C$15,"")</f>
        <v/>
      </c>
      <c r="E38" s="35">
        <f>IFERROR(_Calc!$D$15,"")</f>
        <v/>
      </c>
      <c r="F38" s="36">
        <f>IFERROR(_Calc!$E$15,"")</f>
        <v/>
      </c>
      <c r="G38" s="37">
        <f>IFERROR(_Calc!$F$15,"")</f>
        <v/>
      </c>
      <c r="H38" s="34">
        <f>IFERROR(_Calc!$G$15,"")</f>
        <v/>
      </c>
    </row>
    <row r="39" ht="16" customHeight="1">
      <c r="B39" s="38">
        <f>IFERROR(_Calc!$A$16,"")</f>
        <v/>
      </c>
      <c r="C39" s="39">
        <f>IFERROR(_Calc!$B$16,"")</f>
        <v/>
      </c>
      <c r="D39" s="40">
        <f>IFERROR(_Calc!$C$16,"")</f>
        <v/>
      </c>
      <c r="E39" s="40">
        <f>IFERROR(_Calc!$D$16,"")</f>
        <v/>
      </c>
      <c r="F39" s="41">
        <f>IFERROR(_Calc!$E$16,"")</f>
        <v/>
      </c>
      <c r="G39" s="42">
        <f>IFERROR(_Calc!$F$16,"")</f>
        <v/>
      </c>
      <c r="H39" s="39">
        <f>IFERROR(_Calc!$G$16,"")</f>
        <v/>
      </c>
    </row>
    <row r="40" ht="16" customHeight="1">
      <c r="B40" s="33">
        <f>IFERROR(_Calc!$A$17,"")</f>
        <v/>
      </c>
      <c r="C40" s="34">
        <f>IFERROR(_Calc!$B$17,"")</f>
        <v/>
      </c>
      <c r="D40" s="35">
        <f>IFERROR(_Calc!$C$17,"")</f>
        <v/>
      </c>
      <c r="E40" s="35">
        <f>IFERROR(_Calc!$D$17,"")</f>
        <v/>
      </c>
      <c r="F40" s="36">
        <f>IFERROR(_Calc!$E$17,"")</f>
        <v/>
      </c>
      <c r="G40" s="37">
        <f>IFERROR(_Calc!$F$17,"")</f>
        <v/>
      </c>
      <c r="H40" s="34">
        <f>IFERROR(_Calc!$G$17,"")</f>
        <v/>
      </c>
    </row>
    <row r="41" ht="16" customHeight="1">
      <c r="B41" s="38">
        <f>IFERROR(_Calc!$A$18,"")</f>
        <v/>
      </c>
      <c r="C41" s="39">
        <f>IFERROR(_Calc!$B$18,"")</f>
        <v/>
      </c>
      <c r="D41" s="40">
        <f>IFERROR(_Calc!$C$18,"")</f>
        <v/>
      </c>
      <c r="E41" s="40">
        <f>IFERROR(_Calc!$D$18,"")</f>
        <v/>
      </c>
      <c r="F41" s="41">
        <f>IFERROR(_Calc!$E$18,"")</f>
        <v/>
      </c>
      <c r="G41" s="42">
        <f>IFERROR(_Calc!$F$18,"")</f>
        <v/>
      </c>
      <c r="H41" s="39">
        <f>IFERROR(_Calc!$G$18,"")</f>
        <v/>
      </c>
    </row>
    <row r="42" ht="16" customHeight="1">
      <c r="B42" s="33">
        <f>IFERROR(_Calc!$A$19,"")</f>
        <v/>
      </c>
      <c r="C42" s="34">
        <f>IFERROR(_Calc!$B$19,"")</f>
        <v/>
      </c>
      <c r="D42" s="35">
        <f>IFERROR(_Calc!$C$19,"")</f>
        <v/>
      </c>
      <c r="E42" s="35">
        <f>IFERROR(_Calc!$D$19,"")</f>
        <v/>
      </c>
      <c r="F42" s="36">
        <f>IFERROR(_Calc!$E$19,"")</f>
        <v/>
      </c>
      <c r="G42" s="37">
        <f>IFERROR(_Calc!$F$19,"")</f>
        <v/>
      </c>
      <c r="H42" s="34">
        <f>IFERROR(_Calc!$G$19,"")</f>
        <v/>
      </c>
    </row>
    <row r="43" ht="16" customHeight="1">
      <c r="B43" s="38">
        <f>IFERROR(_Calc!$A$20,"")</f>
        <v/>
      </c>
      <c r="C43" s="39">
        <f>IFERROR(_Calc!$B$20,"")</f>
        <v/>
      </c>
      <c r="D43" s="40">
        <f>IFERROR(_Calc!$C$20,"")</f>
        <v/>
      </c>
      <c r="E43" s="40">
        <f>IFERROR(_Calc!$D$20,"")</f>
        <v/>
      </c>
      <c r="F43" s="41">
        <f>IFERROR(_Calc!$E$20,"")</f>
        <v/>
      </c>
      <c r="G43" s="42">
        <f>IFERROR(_Calc!$F$20,"")</f>
        <v/>
      </c>
      <c r="H43" s="39">
        <f>IFERROR(_Calc!$G$20,"")</f>
        <v/>
      </c>
    </row>
    <row r="44" ht="16" customHeight="1">
      <c r="B44" s="33">
        <f>IFERROR(_Calc!$A$21,"")</f>
        <v/>
      </c>
      <c r="C44" s="34">
        <f>IFERROR(_Calc!$B$21,"")</f>
        <v/>
      </c>
      <c r="D44" s="35">
        <f>IFERROR(_Calc!$C$21,"")</f>
        <v/>
      </c>
      <c r="E44" s="35">
        <f>IFERROR(_Calc!$D$21,"")</f>
        <v/>
      </c>
      <c r="F44" s="36">
        <f>IFERROR(_Calc!$E$21,"")</f>
        <v/>
      </c>
      <c r="G44" s="37">
        <f>IFERROR(_Calc!$F$21,"")</f>
        <v/>
      </c>
      <c r="H44" s="34">
        <f>IFERROR(_Calc!$G$21,"")</f>
        <v/>
      </c>
    </row>
    <row r="45" ht="16" customHeight="1">
      <c r="B45" s="38">
        <f>IFERROR(_Calc!$A$22,"")</f>
        <v/>
      </c>
      <c r="C45" s="39">
        <f>IFERROR(_Calc!$B$22,"")</f>
        <v/>
      </c>
      <c r="D45" s="40">
        <f>IFERROR(_Calc!$C$22,"")</f>
        <v/>
      </c>
      <c r="E45" s="40">
        <f>IFERROR(_Calc!$D$22,"")</f>
        <v/>
      </c>
      <c r="F45" s="41">
        <f>IFERROR(_Calc!$E$22,"")</f>
        <v/>
      </c>
      <c r="G45" s="42">
        <f>IFERROR(_Calc!$F$22,"")</f>
        <v/>
      </c>
      <c r="H45" s="39">
        <f>IFERROR(_Calc!$G$22,"")</f>
        <v/>
      </c>
    </row>
    <row r="46" ht="16" customHeight="1">
      <c r="B46" s="33">
        <f>IFERROR(_Calc!$A$23,"")</f>
        <v/>
      </c>
      <c r="C46" s="34">
        <f>IFERROR(_Calc!$B$23,"")</f>
        <v/>
      </c>
      <c r="D46" s="35">
        <f>IFERROR(_Calc!$C$23,"")</f>
        <v/>
      </c>
      <c r="E46" s="35">
        <f>IFERROR(_Calc!$D$23,"")</f>
        <v/>
      </c>
      <c r="F46" s="36">
        <f>IFERROR(_Calc!$E$23,"")</f>
        <v/>
      </c>
      <c r="G46" s="37">
        <f>IFERROR(_Calc!$F$23,"")</f>
        <v/>
      </c>
      <c r="H46" s="34">
        <f>IFERROR(_Calc!$G$23,"")</f>
        <v/>
      </c>
    </row>
    <row r="47" ht="16" customHeight="1">
      <c r="B47" s="38">
        <f>IFERROR(_Calc!$A$24,"")</f>
        <v/>
      </c>
      <c r="C47" s="39">
        <f>IFERROR(_Calc!$B$24,"")</f>
        <v/>
      </c>
      <c r="D47" s="40">
        <f>IFERROR(_Calc!$C$24,"")</f>
        <v/>
      </c>
      <c r="E47" s="40">
        <f>IFERROR(_Calc!$D$24,"")</f>
        <v/>
      </c>
      <c r="F47" s="41">
        <f>IFERROR(_Calc!$E$24,"")</f>
        <v/>
      </c>
      <c r="G47" s="42">
        <f>IFERROR(_Calc!$F$24,"")</f>
        <v/>
      </c>
      <c r="H47" s="39">
        <f>IFERROR(_Calc!$G$24,"")</f>
        <v/>
      </c>
    </row>
    <row r="48" ht="16" customHeight="1">
      <c r="B48" s="33">
        <f>IFERROR(_Calc!$A$25,"")</f>
        <v/>
      </c>
      <c r="C48" s="34">
        <f>IFERROR(_Calc!$B$25,"")</f>
        <v/>
      </c>
      <c r="D48" s="35">
        <f>IFERROR(_Calc!$C$25,"")</f>
        <v/>
      </c>
      <c r="E48" s="35">
        <f>IFERROR(_Calc!$D$25,"")</f>
        <v/>
      </c>
      <c r="F48" s="36">
        <f>IFERROR(_Calc!$E$25,"")</f>
        <v/>
      </c>
      <c r="G48" s="37">
        <f>IFERROR(_Calc!$F$25,"")</f>
        <v/>
      </c>
      <c r="H48" s="34">
        <f>IFERROR(_Calc!$G$25,"")</f>
        <v/>
      </c>
    </row>
    <row r="49" ht="16" customHeight="1">
      <c r="B49" s="38">
        <f>IFERROR(_Calc!$A$26,"")</f>
        <v/>
      </c>
      <c r="C49" s="39">
        <f>IFERROR(_Calc!$B$26,"")</f>
        <v/>
      </c>
      <c r="D49" s="40">
        <f>IFERROR(_Calc!$C$26,"")</f>
        <v/>
      </c>
      <c r="E49" s="40">
        <f>IFERROR(_Calc!$D$26,"")</f>
        <v/>
      </c>
      <c r="F49" s="41">
        <f>IFERROR(_Calc!$E$26,"")</f>
        <v/>
      </c>
      <c r="G49" s="42">
        <f>IFERROR(_Calc!$F$26,"")</f>
        <v/>
      </c>
      <c r="H49" s="39">
        <f>IFERROR(_Calc!$G$26,"")</f>
        <v/>
      </c>
    </row>
    <row r="50" ht="16" customHeight="1">
      <c r="B50" s="33">
        <f>IFERROR(_Calc!$A$27,"")</f>
        <v/>
      </c>
      <c r="C50" s="34">
        <f>IFERROR(_Calc!$B$27,"")</f>
        <v/>
      </c>
      <c r="D50" s="35">
        <f>IFERROR(_Calc!$C$27,"")</f>
        <v/>
      </c>
      <c r="E50" s="35">
        <f>IFERROR(_Calc!$D$27,"")</f>
        <v/>
      </c>
      <c r="F50" s="36">
        <f>IFERROR(_Calc!$E$27,"")</f>
        <v/>
      </c>
      <c r="G50" s="37">
        <f>IFERROR(_Calc!$F$27,"")</f>
        <v/>
      </c>
      <c r="H50" s="34">
        <f>IFERROR(_Calc!$G$27,"")</f>
        <v/>
      </c>
    </row>
    <row r="51" ht="16" customHeight="1">
      <c r="B51" s="38">
        <f>IFERROR(_Calc!$A$28,"")</f>
        <v/>
      </c>
      <c r="C51" s="39">
        <f>IFERROR(_Calc!$B$28,"")</f>
        <v/>
      </c>
      <c r="D51" s="40">
        <f>IFERROR(_Calc!$C$28,"")</f>
        <v/>
      </c>
      <c r="E51" s="40">
        <f>IFERROR(_Calc!$D$28,"")</f>
        <v/>
      </c>
      <c r="F51" s="41">
        <f>IFERROR(_Calc!$E$28,"")</f>
        <v/>
      </c>
      <c r="G51" s="42">
        <f>IFERROR(_Calc!$F$28,"")</f>
        <v/>
      </c>
      <c r="H51" s="39">
        <f>IFERROR(_Calc!$G$28,"")</f>
        <v/>
      </c>
    </row>
    <row r="52" ht="16" customHeight="1">
      <c r="B52" s="33">
        <f>IFERROR(_Calc!$A$29,"")</f>
        <v/>
      </c>
      <c r="C52" s="34">
        <f>IFERROR(_Calc!$B$29,"")</f>
        <v/>
      </c>
      <c r="D52" s="35">
        <f>IFERROR(_Calc!$C$29,"")</f>
        <v/>
      </c>
      <c r="E52" s="35">
        <f>IFERROR(_Calc!$D$29,"")</f>
        <v/>
      </c>
      <c r="F52" s="36">
        <f>IFERROR(_Calc!$E$29,"")</f>
        <v/>
      </c>
      <c r="G52" s="37">
        <f>IFERROR(_Calc!$F$29,"")</f>
        <v/>
      </c>
      <c r="H52" s="34">
        <f>IFERROR(_Calc!$G$29,"")</f>
        <v/>
      </c>
    </row>
    <row r="53" ht="16" customHeight="1">
      <c r="B53" s="38">
        <f>IFERROR(_Calc!$A$30,"")</f>
        <v/>
      </c>
      <c r="C53" s="39">
        <f>IFERROR(_Calc!$B$30,"")</f>
        <v/>
      </c>
      <c r="D53" s="40">
        <f>IFERROR(_Calc!$C$30,"")</f>
        <v/>
      </c>
      <c r="E53" s="40">
        <f>IFERROR(_Calc!$D$30,"")</f>
        <v/>
      </c>
      <c r="F53" s="41">
        <f>IFERROR(_Calc!$E$30,"")</f>
        <v/>
      </c>
      <c r="G53" s="42">
        <f>IFERROR(_Calc!$F$30,"")</f>
        <v/>
      </c>
      <c r="H53" s="39">
        <f>IFERROR(_Calc!$G$30,"")</f>
        <v/>
      </c>
    </row>
    <row r="54" ht="16" customHeight="1">
      <c r="B54" s="33">
        <f>IFERROR(_Calc!$A$31,"")</f>
        <v/>
      </c>
      <c r="C54" s="34">
        <f>IFERROR(_Calc!$B$31,"")</f>
        <v/>
      </c>
      <c r="D54" s="35">
        <f>IFERROR(_Calc!$C$31,"")</f>
        <v/>
      </c>
      <c r="E54" s="35">
        <f>IFERROR(_Calc!$D$31,"")</f>
        <v/>
      </c>
      <c r="F54" s="36">
        <f>IFERROR(_Calc!$E$31,"")</f>
        <v/>
      </c>
      <c r="G54" s="37">
        <f>IFERROR(_Calc!$F$31,"")</f>
        <v/>
      </c>
      <c r="H54" s="34">
        <f>IFERROR(_Calc!$G$31,"")</f>
        <v/>
      </c>
    </row>
    <row r="55" ht="16" customHeight="1">
      <c r="B55" s="38">
        <f>IFERROR(_Calc!$A$32,"")</f>
        <v/>
      </c>
      <c r="C55" s="39">
        <f>IFERROR(_Calc!$B$32,"")</f>
        <v/>
      </c>
      <c r="D55" s="40">
        <f>IFERROR(_Calc!$C$32,"")</f>
        <v/>
      </c>
      <c r="E55" s="40">
        <f>IFERROR(_Calc!$D$32,"")</f>
        <v/>
      </c>
      <c r="F55" s="41">
        <f>IFERROR(_Calc!$E$32,"")</f>
        <v/>
      </c>
      <c r="G55" s="42">
        <f>IFERROR(_Calc!$F$32,"")</f>
        <v/>
      </c>
      <c r="H55" s="39">
        <f>IFERROR(_Calc!$G$32,"")</f>
        <v/>
      </c>
    </row>
    <row r="56" ht="16" customHeight="1">
      <c r="B56" s="33">
        <f>IFERROR(_Calc!$A$33,"")</f>
        <v/>
      </c>
      <c r="C56" s="34">
        <f>IFERROR(_Calc!$B$33,"")</f>
        <v/>
      </c>
      <c r="D56" s="35">
        <f>IFERROR(_Calc!$C$33,"")</f>
        <v/>
      </c>
      <c r="E56" s="35">
        <f>IFERROR(_Calc!$D$33,"")</f>
        <v/>
      </c>
      <c r="F56" s="36">
        <f>IFERROR(_Calc!$E$33,"")</f>
        <v/>
      </c>
      <c r="G56" s="37">
        <f>IFERROR(_Calc!$F$33,"")</f>
        <v/>
      </c>
      <c r="H56" s="34">
        <f>IFERROR(_Calc!$G$33,"")</f>
        <v/>
      </c>
    </row>
    <row r="57" ht="16" customHeight="1">
      <c r="B57" s="38">
        <f>IFERROR(_Calc!$A$34,"")</f>
        <v/>
      </c>
      <c r="C57" s="39">
        <f>IFERROR(_Calc!$B$34,"")</f>
        <v/>
      </c>
      <c r="D57" s="40">
        <f>IFERROR(_Calc!$C$34,"")</f>
        <v/>
      </c>
      <c r="E57" s="40">
        <f>IFERROR(_Calc!$D$34,"")</f>
        <v/>
      </c>
      <c r="F57" s="41">
        <f>IFERROR(_Calc!$E$34,"")</f>
        <v/>
      </c>
      <c r="G57" s="42">
        <f>IFERROR(_Calc!$F$34,"")</f>
        <v/>
      </c>
      <c r="H57" s="39">
        <f>IFERROR(_Calc!$G$34,"")</f>
        <v/>
      </c>
    </row>
    <row r="59" ht="22" customHeight="1">
      <c r="B59" s="43">
        <f>COUNTIF(GL_Data[Status],"Overdue")&amp;" overdue  |  "&amp;COUNTIF(GL_Data[Status],"Open")&amp;" open  |  "&amp;COUNTIF(GL_Data[Status],"Paid")&amp;" paid"</f>
        <v/>
      </c>
      <c r="E59" s="44">
        <f>"Total budget: EUR "&amp;TEXT(SUM(Retail_Data[Budget (EUR)]),"#,##0")&amp;"   |   AP open: EUR "&amp;TEXT(SUM(VENDMAST_Data[AP Balance (EUR)]),"#,##0")</f>
        <v/>
      </c>
    </row>
  </sheetData>
  <mergeCells count="35">
    <mergeCell ref="F13:I13"/>
    <mergeCell ref="F11:G11"/>
    <mergeCell ref="D10:E10"/>
    <mergeCell ref="B7:C7"/>
    <mergeCell ref="F10:G10"/>
    <mergeCell ref="H10:I10"/>
    <mergeCell ref="B3:I3"/>
    <mergeCell ref="F6:G6"/>
    <mergeCell ref="H9:I9"/>
    <mergeCell ref="F7:G7"/>
    <mergeCell ref="D6:E6"/>
    <mergeCell ref="H6:I6"/>
    <mergeCell ref="B11:C11"/>
    <mergeCell ref="D11:E11"/>
    <mergeCell ref="B2:I2"/>
    <mergeCell ref="F5:G5"/>
    <mergeCell ref="B8:C8"/>
    <mergeCell ref="F8:G8"/>
    <mergeCell ref="H11:I11"/>
    <mergeCell ref="D7:E7"/>
    <mergeCell ref="E59:I59"/>
    <mergeCell ref="H7:I7"/>
    <mergeCell ref="B10:C10"/>
    <mergeCell ref="B9:C9"/>
    <mergeCell ref="D9:E9"/>
    <mergeCell ref="F9:G9"/>
    <mergeCell ref="D8:E8"/>
    <mergeCell ref="B6:C6"/>
    <mergeCell ref="B59:D59"/>
    <mergeCell ref="B5:C5"/>
    <mergeCell ref="B13:E13"/>
    <mergeCell ref="D5:E5"/>
    <mergeCell ref="H5:I5"/>
    <mergeCell ref="B36:I36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6F6A"/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0" customWidth="1" min="9" max="9"/>
    <col width="16" customWidth="1" min="10" max="10"/>
    <col width="10" customWidth="1" min="11" max="11"/>
    <col width="13" customWidth="1" min="12" max="12"/>
  </cols>
  <sheetData>
    <row r="1" ht="22" customHeight="1">
      <c r="A1" s="45" t="inlineStr">
        <is>
          <t>Journal Description</t>
        </is>
      </c>
      <c r="B1" s="45" t="inlineStr">
        <is>
          <t>Supplier Code</t>
        </is>
      </c>
      <c r="C1" s="45" t="inlineStr">
        <is>
          <t>Supplier Name</t>
        </is>
      </c>
      <c r="D1" s="45" t="inlineStr">
        <is>
          <t>Amount (EUR)</t>
        </is>
      </c>
      <c r="E1" s="45" t="inlineStr">
        <is>
          <t>Currency</t>
        </is>
      </c>
      <c r="F1" s="45" t="inlineStr">
        <is>
          <t>Invoice Date</t>
        </is>
      </c>
      <c r="G1" s="45" t="inlineStr">
        <is>
          <t>Due Date</t>
        </is>
      </c>
      <c r="H1" s="45" t="inlineStr">
        <is>
          <t>Category</t>
        </is>
      </c>
      <c r="I1" s="45" t="inlineStr">
        <is>
          <t>GL Code</t>
        </is>
      </c>
      <c r="J1" s="45" t="inlineStr">
        <is>
          <t>PO Number</t>
        </is>
      </c>
      <c r="K1" s="45" t="inlineStr">
        <is>
          <t>Status</t>
        </is>
      </c>
      <c r="L1" s="45" t="inlineStr">
        <is>
          <t>Days Past Due</t>
        </is>
      </c>
    </row>
    <row r="2" ht="15" customHeight="1">
      <c r="A2" s="46" t="inlineStr">
        <is>
          <t>Acme Logistics BV</t>
        </is>
      </c>
      <c r="B2" s="47" t="inlineStr">
        <is>
          <t>SUP001</t>
        </is>
      </c>
      <c r="C2" s="46" t="inlineStr">
        <is>
          <t>Acme Logistics BV</t>
        </is>
      </c>
      <c r="D2" s="48" t="n">
        <v>12152.8</v>
      </c>
      <c r="E2" s="47" t="inlineStr">
        <is>
          <t>EUR</t>
        </is>
      </c>
      <c r="F2" s="49" t="n">
        <v>46046</v>
      </c>
      <c r="G2" s="49" t="n">
        <v>46079</v>
      </c>
      <c r="H2" s="47" t="inlineStr">
        <is>
          <t>IT</t>
        </is>
      </c>
      <c r="I2" s="47" t="inlineStr">
        <is>
          <t>6200</t>
        </is>
      </c>
      <c r="J2" s="47" t="inlineStr">
        <is>
          <t>PO-2026-1000</t>
        </is>
      </c>
      <c r="K2" s="50" t="inlineStr">
        <is>
          <t>Overdue</t>
        </is>
      </c>
      <c r="L2" s="47">
        <f>IF([@Status]&lt;&gt;"Paid",MAX(0,TODAY()-[@[Due Date]]),0)</f>
        <v/>
      </c>
    </row>
    <row r="3" ht="15" customHeight="1">
      <c r="A3" s="46" t="inlineStr">
        <is>
          <t>Acme Logistics BV</t>
        </is>
      </c>
      <c r="B3" s="47" t="inlineStr">
        <is>
          <t>SUP001</t>
        </is>
      </c>
      <c r="C3" s="46" t="inlineStr">
        <is>
          <t>Acme Logistics BV</t>
        </is>
      </c>
      <c r="D3" s="48" t="n">
        <v>27186.42</v>
      </c>
      <c r="E3" s="47" t="inlineStr">
        <is>
          <t>EUR</t>
        </is>
      </c>
      <c r="F3" s="49" t="n">
        <v>46077</v>
      </c>
      <c r="G3" s="49" t="n">
        <v>46104</v>
      </c>
      <c r="H3" s="47" t="inlineStr">
        <is>
          <t>IT</t>
        </is>
      </c>
      <c r="I3" s="47" t="inlineStr">
        <is>
          <t>6200</t>
        </is>
      </c>
      <c r="J3" s="47" t="inlineStr">
        <is>
          <t>PO-2026-1001</t>
        </is>
      </c>
      <c r="K3" s="50" t="inlineStr">
        <is>
          <t>Overdue</t>
        </is>
      </c>
      <c r="L3" s="47">
        <f>IF([@Status]&lt;&gt;"Paid",MAX(0,TODAY()-[@[Due Date]]),0)</f>
        <v/>
      </c>
    </row>
    <row r="4" ht="15" customHeight="1">
      <c r="A4" s="46" t="inlineStr">
        <is>
          <t>Acme Logistics BV</t>
        </is>
      </c>
      <c r="B4" s="47" t="inlineStr">
        <is>
          <t>SUP001</t>
        </is>
      </c>
      <c r="C4" s="46" t="inlineStr">
        <is>
          <t>Acme Logistics BV</t>
        </is>
      </c>
      <c r="D4" s="48" t="n">
        <v>23482.96</v>
      </c>
      <c r="E4" s="47" t="inlineStr">
        <is>
          <t>EUR</t>
        </is>
      </c>
      <c r="F4" s="49" t="n">
        <v>46060</v>
      </c>
      <c r="G4" s="49" t="n">
        <v>46092</v>
      </c>
      <c r="H4" s="47" t="inlineStr">
        <is>
          <t>IT</t>
        </is>
      </c>
      <c r="I4" s="47" t="inlineStr">
        <is>
          <t>6200</t>
        </is>
      </c>
      <c r="J4" s="47" t="inlineStr">
        <is>
          <t>PO-2026-1002</t>
        </is>
      </c>
      <c r="K4" s="50" t="inlineStr">
        <is>
          <t>Overdue</t>
        </is>
      </c>
      <c r="L4" s="47">
        <f>IF([@Status]&lt;&gt;"Paid",MAX(0,TODAY()-[@[Due Date]]),0)</f>
        <v/>
      </c>
    </row>
    <row r="5" ht="15" customHeight="1">
      <c r="A5" s="51" t="inlineStr">
        <is>
          <t>Acme Logistics BV</t>
        </is>
      </c>
      <c r="B5" s="52" t="inlineStr">
        <is>
          <t>SUP001</t>
        </is>
      </c>
      <c r="C5" s="51" t="inlineStr">
        <is>
          <t>Acme Logistics BV</t>
        </is>
      </c>
      <c r="D5" s="53" t="n">
        <v>11089.17</v>
      </c>
      <c r="E5" s="52" t="inlineStr">
        <is>
          <t>EUR</t>
        </is>
      </c>
      <c r="F5" s="54" t="n">
        <v>46076</v>
      </c>
      <c r="G5" s="54" t="n">
        <v>46114</v>
      </c>
      <c r="H5" s="52" t="inlineStr">
        <is>
          <t>IT</t>
        </is>
      </c>
      <c r="I5" s="52" t="inlineStr">
        <is>
          <t>6200</t>
        </is>
      </c>
      <c r="J5" s="52" t="inlineStr">
        <is>
          <t>PO-2026-1003</t>
        </is>
      </c>
      <c r="K5" s="55" t="inlineStr">
        <is>
          <t>Paid</t>
        </is>
      </c>
      <c r="L5" s="52">
        <f>IF([@Status]&lt;&gt;"Paid",MAX(0,TODAY()-[@[Due Date]]),0)</f>
        <v/>
      </c>
    </row>
    <row r="6" ht="15" customHeight="1">
      <c r="A6" s="46" t="inlineStr">
        <is>
          <t>PO-2026-1004</t>
        </is>
      </c>
      <c r="B6" s="47" t="inlineStr">
        <is>
          <t>SUP001</t>
        </is>
      </c>
      <c r="C6" s="46" t="inlineStr">
        <is>
          <t>Acme Logistics BV</t>
        </is>
      </c>
      <c r="D6" s="48" t="n">
        <v>16300.9</v>
      </c>
      <c r="E6" s="47" t="inlineStr">
        <is>
          <t>EUR</t>
        </is>
      </c>
      <c r="F6" s="49" t="n">
        <v>46104</v>
      </c>
      <c r="G6" s="49" t="n">
        <v>46142</v>
      </c>
      <c r="H6" s="47" t="inlineStr">
        <is>
          <t>IT</t>
        </is>
      </c>
      <c r="I6" s="47" t="inlineStr">
        <is>
          <t>6200</t>
        </is>
      </c>
      <c r="J6" s="47" t="inlineStr">
        <is>
          <t>PO-2026-1004</t>
        </is>
      </c>
      <c r="K6" s="50" t="inlineStr">
        <is>
          <t>Overdue</t>
        </is>
      </c>
      <c r="L6" s="47">
        <f>IF([@Status]&lt;&gt;"Paid",MAX(0,TODAY()-[@[Due Date]]),0)</f>
        <v/>
      </c>
    </row>
    <row r="7" ht="15" customHeight="1">
      <c r="A7" s="51" t="inlineStr">
        <is>
          <t>PO-2026-1005</t>
        </is>
      </c>
      <c r="B7" s="52" t="inlineStr">
        <is>
          <t>SUP001</t>
        </is>
      </c>
      <c r="C7" s="51" t="inlineStr">
        <is>
          <t>Acme Logistics BV</t>
        </is>
      </c>
      <c r="D7" s="53" t="n">
        <v>5707.16</v>
      </c>
      <c r="E7" s="52" t="inlineStr">
        <is>
          <t>EUR</t>
        </is>
      </c>
      <c r="F7" s="54" t="n">
        <v>46115</v>
      </c>
      <c r="G7" s="54" t="n">
        <v>46152</v>
      </c>
      <c r="H7" s="52" t="inlineStr">
        <is>
          <t>IT</t>
        </is>
      </c>
      <c r="I7" s="52" t="inlineStr">
        <is>
          <t>6200</t>
        </is>
      </c>
      <c r="J7" s="52" t="inlineStr">
        <is>
          <t>PO-2026-1005</t>
        </is>
      </c>
      <c r="K7" s="55" t="inlineStr">
        <is>
          <t>Paid</t>
        </is>
      </c>
      <c r="L7" s="52">
        <f>IF([@Status]&lt;&gt;"Paid",MAX(0,TODAY()-[@[Due Date]]),0)</f>
        <v/>
      </c>
    </row>
    <row r="8" ht="15" customHeight="1">
      <c r="A8" s="51" t="inlineStr">
        <is>
          <t>PO-2026-1006</t>
        </is>
      </c>
      <c r="B8" s="52" t="inlineStr">
        <is>
          <t>SUP001</t>
        </is>
      </c>
      <c r="C8" s="51" t="inlineStr">
        <is>
          <t>Acme Logistics BV</t>
        </is>
      </c>
      <c r="D8" s="53" t="n">
        <v>24825.92</v>
      </c>
      <c r="E8" s="52" t="inlineStr">
        <is>
          <t>EUR</t>
        </is>
      </c>
      <c r="F8" s="54" t="n">
        <v>46166</v>
      </c>
      <c r="G8" s="54" t="n">
        <v>46205</v>
      </c>
      <c r="H8" s="52" t="inlineStr">
        <is>
          <t>IT</t>
        </is>
      </c>
      <c r="I8" s="52" t="inlineStr">
        <is>
          <t>6200</t>
        </is>
      </c>
      <c r="J8" s="52" t="inlineStr">
        <is>
          <t>PO-2026-1006</t>
        </is>
      </c>
      <c r="K8" s="55" t="inlineStr">
        <is>
          <t>Paid</t>
        </is>
      </c>
      <c r="L8" s="52">
        <f>IF([@Status]&lt;&gt;"Paid",MAX(0,TODAY()-[@[Due Date]]),0)</f>
        <v/>
      </c>
    </row>
    <row r="9" ht="15" customHeight="1">
      <c r="A9" s="51" t="inlineStr">
        <is>
          <t>PO-2026-1007</t>
        </is>
      </c>
      <c r="B9" s="52" t="inlineStr">
        <is>
          <t>SUP001</t>
        </is>
      </c>
      <c r="C9" s="51" t="inlineStr">
        <is>
          <t>Acme Logistics BV</t>
        </is>
      </c>
      <c r="D9" s="53" t="n">
        <v>37579.1</v>
      </c>
      <c r="E9" s="52" t="inlineStr">
        <is>
          <t>EUR</t>
        </is>
      </c>
      <c r="F9" s="54" t="n">
        <v>46191</v>
      </c>
      <c r="G9" s="54" t="n">
        <v>46225</v>
      </c>
      <c r="H9" s="52" t="inlineStr">
        <is>
          <t>IT</t>
        </is>
      </c>
      <c r="I9" s="52" t="inlineStr">
        <is>
          <t>6200</t>
        </is>
      </c>
      <c r="J9" s="52" t="inlineStr">
        <is>
          <t>PO-2026-1007</t>
        </is>
      </c>
      <c r="K9" s="55" t="inlineStr">
        <is>
          <t>Paid</t>
        </is>
      </c>
      <c r="L9" s="52">
        <f>IF([@Status]&lt;&gt;"Paid",MAX(0,TODAY()-[@[Due Date]]),0)</f>
        <v/>
      </c>
    </row>
    <row r="10" ht="15" customHeight="1">
      <c r="A10" s="56" t="inlineStr">
        <is>
          <t>Acme Logistics BV</t>
        </is>
      </c>
      <c r="B10" s="57" t="inlineStr">
        <is>
          <t>SUP001</t>
        </is>
      </c>
      <c r="C10" s="56" t="inlineStr">
        <is>
          <t>Acme Logistics BV</t>
        </is>
      </c>
      <c r="D10" s="58" t="n">
        <v>3493.36</v>
      </c>
      <c r="E10" s="57" t="inlineStr">
        <is>
          <t>EUR</t>
        </is>
      </c>
      <c r="F10" s="59" t="n">
        <v>46210</v>
      </c>
      <c r="G10" s="59" t="n">
        <v>46237</v>
      </c>
      <c r="H10" s="57" t="inlineStr">
        <is>
          <t>IT</t>
        </is>
      </c>
      <c r="I10" s="57" t="inlineStr">
        <is>
          <t>6200</t>
        </is>
      </c>
      <c r="J10" s="57" t="inlineStr">
        <is>
          <t>PO-2026-1008</t>
        </is>
      </c>
      <c r="K10" s="60" t="inlineStr">
        <is>
          <t>Open</t>
        </is>
      </c>
      <c r="L10" s="57">
        <f>IF([@Status]&lt;&gt;"Paid",MAX(0,TODAY()-[@[Due Date]]),0)</f>
        <v/>
      </c>
    </row>
    <row r="11" ht="15" customHeight="1">
      <c r="A11" s="56" t="inlineStr">
        <is>
          <t>Acme Logistics BV</t>
        </is>
      </c>
      <c r="B11" s="57" t="inlineStr">
        <is>
          <t>SUP001</t>
        </is>
      </c>
      <c r="C11" s="56" t="inlineStr">
        <is>
          <t>Acme Logistics BV</t>
        </is>
      </c>
      <c r="D11" s="58" t="n">
        <v>44357.14</v>
      </c>
      <c r="E11" s="57" t="inlineStr">
        <is>
          <t>EUR</t>
        </is>
      </c>
      <c r="F11" s="59" t="n">
        <v>46228</v>
      </c>
      <c r="G11" s="59" t="n">
        <v>46262</v>
      </c>
      <c r="H11" s="57" t="inlineStr">
        <is>
          <t>IT</t>
        </is>
      </c>
      <c r="I11" s="57" t="inlineStr">
        <is>
          <t>6200</t>
        </is>
      </c>
      <c r="J11" s="57" t="inlineStr">
        <is>
          <t>PO-2026-1009</t>
        </is>
      </c>
      <c r="K11" s="60" t="inlineStr">
        <is>
          <t>Open</t>
        </is>
      </c>
      <c r="L11" s="57">
        <f>IF([@Status]&lt;&gt;"Paid",MAX(0,TODAY()-[@[Due Date]]),0)</f>
        <v/>
      </c>
    </row>
    <row r="12" ht="15" customHeight="1">
      <c r="A12" s="56" t="inlineStr">
        <is>
          <t>PO-2026-1010</t>
        </is>
      </c>
      <c r="B12" s="57" t="inlineStr">
        <is>
          <t>SUP001</t>
        </is>
      </c>
      <c r="C12" s="56" t="inlineStr">
        <is>
          <t>Acme Logistics BV</t>
        </is>
      </c>
      <c r="D12" s="58" t="n">
        <v>18035.49</v>
      </c>
      <c r="E12" s="57" t="inlineStr">
        <is>
          <t>EUR</t>
        </is>
      </c>
      <c r="F12" s="59" t="n">
        <v>46231</v>
      </c>
      <c r="G12" s="59" t="n">
        <v>46259</v>
      </c>
      <c r="H12" s="57" t="inlineStr">
        <is>
          <t>IT</t>
        </is>
      </c>
      <c r="I12" s="57" t="inlineStr">
        <is>
          <t>6200</t>
        </is>
      </c>
      <c r="J12" s="57" t="inlineStr">
        <is>
          <t>PO-2026-1010</t>
        </is>
      </c>
      <c r="K12" s="60" t="inlineStr">
        <is>
          <t>Open</t>
        </is>
      </c>
      <c r="L12" s="57">
        <f>IF([@Status]&lt;&gt;"Paid",MAX(0,TODAY()-[@[Due Date]]),0)</f>
        <v/>
      </c>
    </row>
    <row r="13" ht="15" customHeight="1">
      <c r="A13" s="46" t="inlineStr">
        <is>
          <t>TechParts Solutions</t>
        </is>
      </c>
      <c r="B13" s="47" t="inlineStr">
        <is>
          <t>SUP002</t>
        </is>
      </c>
      <c r="C13" s="46" t="inlineStr">
        <is>
          <t>TechParts Solutions</t>
        </is>
      </c>
      <c r="D13" s="48" t="n">
        <v>10613.56</v>
      </c>
      <c r="E13" s="47" t="inlineStr">
        <is>
          <t>EUR</t>
        </is>
      </c>
      <c r="F13" s="49" t="n">
        <v>46034</v>
      </c>
      <c r="G13" s="49" t="n">
        <v>46085</v>
      </c>
      <c r="H13" s="47" t="inlineStr">
        <is>
          <t>Marketing</t>
        </is>
      </c>
      <c r="I13" s="47" t="inlineStr">
        <is>
          <t>6600</t>
        </is>
      </c>
      <c r="J13" s="47" t="inlineStr">
        <is>
          <t>PO-2026-1011</t>
        </is>
      </c>
      <c r="K13" s="50" t="inlineStr">
        <is>
          <t>Overdue</t>
        </is>
      </c>
      <c r="L13" s="47">
        <f>IF([@Status]&lt;&gt;"Paid",MAX(0,TODAY()-[@[Due Date]]),0)</f>
        <v/>
      </c>
    </row>
    <row r="14" ht="15" customHeight="1">
      <c r="A14" s="46" t="inlineStr">
        <is>
          <t>PO-2026-1012</t>
        </is>
      </c>
      <c r="B14" s="47" t="inlineStr">
        <is>
          <t>SUP002</t>
        </is>
      </c>
      <c r="C14" s="46" t="inlineStr">
        <is>
          <t>TechParts Solutions</t>
        </is>
      </c>
      <c r="D14" s="48" t="n">
        <v>24735.08</v>
      </c>
      <c r="E14" s="47" t="inlineStr">
        <is>
          <t>EUR</t>
        </is>
      </c>
      <c r="F14" s="49" t="n">
        <v>46074</v>
      </c>
      <c r="G14" s="49" t="n">
        <v>46119</v>
      </c>
      <c r="H14" s="47" t="inlineStr">
        <is>
          <t>Marketing</t>
        </is>
      </c>
      <c r="I14" s="47" t="inlineStr">
        <is>
          <t>6600</t>
        </is>
      </c>
      <c r="J14" s="47" t="inlineStr">
        <is>
          <t>PO-2026-1012</t>
        </is>
      </c>
      <c r="K14" s="50" t="inlineStr">
        <is>
          <t>Overdue</t>
        </is>
      </c>
      <c r="L14" s="47">
        <f>IF([@Status]&lt;&gt;"Paid",MAX(0,TODAY()-[@[Due Date]]),0)</f>
        <v/>
      </c>
    </row>
    <row r="15" ht="15" customHeight="1">
      <c r="A15" s="51" t="inlineStr">
        <is>
          <t>TechParts Solutions</t>
        </is>
      </c>
      <c r="B15" s="52" t="inlineStr">
        <is>
          <t>SUP002</t>
        </is>
      </c>
      <c r="C15" s="51" t="inlineStr">
        <is>
          <t>TechParts Solutions</t>
        </is>
      </c>
      <c r="D15" s="53" t="n">
        <v>44544.27</v>
      </c>
      <c r="E15" s="52" t="inlineStr">
        <is>
          <t>EUR</t>
        </is>
      </c>
      <c r="F15" s="54" t="n">
        <v>46066</v>
      </c>
      <c r="G15" s="54" t="n">
        <v>46114</v>
      </c>
      <c r="H15" s="52" t="inlineStr">
        <is>
          <t>Marketing</t>
        </is>
      </c>
      <c r="I15" s="52" t="inlineStr">
        <is>
          <t>6600</t>
        </is>
      </c>
      <c r="J15" s="52" t="inlineStr">
        <is>
          <t>PO-2026-1013</t>
        </is>
      </c>
      <c r="K15" s="55" t="inlineStr">
        <is>
          <t>Paid</t>
        </is>
      </c>
      <c r="L15" s="52">
        <f>IF([@Status]&lt;&gt;"Paid",MAX(0,TODAY()-[@[Due Date]]),0)</f>
        <v/>
      </c>
    </row>
    <row r="16" ht="15" customHeight="1">
      <c r="A16" s="51" t="inlineStr">
        <is>
          <t>TechParts Solutions</t>
        </is>
      </c>
      <c r="B16" s="52" t="inlineStr">
        <is>
          <t>SUP002</t>
        </is>
      </c>
      <c r="C16" s="51" t="inlineStr">
        <is>
          <t>TechParts Solutions</t>
        </is>
      </c>
      <c r="D16" s="53" t="n">
        <v>38164.06</v>
      </c>
      <c r="E16" s="52" t="inlineStr">
        <is>
          <t>EUR</t>
        </is>
      </c>
      <c r="F16" s="54" t="n">
        <v>46075</v>
      </c>
      <c r="G16" s="54" t="n">
        <v>46125</v>
      </c>
      <c r="H16" s="52" t="inlineStr">
        <is>
          <t>Marketing</t>
        </is>
      </c>
      <c r="I16" s="52" t="inlineStr">
        <is>
          <t>6600</t>
        </is>
      </c>
      <c r="J16" s="52" t="inlineStr">
        <is>
          <t>PO-2026-1014</t>
        </is>
      </c>
      <c r="K16" s="55" t="inlineStr">
        <is>
          <t>Paid</t>
        </is>
      </c>
      <c r="L16" s="52">
        <f>IF([@Status]&lt;&gt;"Paid",MAX(0,TODAY()-[@[Due Date]]),0)</f>
        <v/>
      </c>
    </row>
    <row r="17" ht="15" customHeight="1">
      <c r="A17" s="46" t="inlineStr">
        <is>
          <t>PO-2026-1015</t>
        </is>
      </c>
      <c r="B17" s="47" t="inlineStr">
        <is>
          <t>SUP002</t>
        </is>
      </c>
      <c r="C17" s="46" t="inlineStr">
        <is>
          <t>TechParts Solutions</t>
        </is>
      </c>
      <c r="D17" s="48" t="n">
        <v>18950.67</v>
      </c>
      <c r="E17" s="47" t="inlineStr">
        <is>
          <t>EUR</t>
        </is>
      </c>
      <c r="F17" s="49" t="n">
        <v>46107</v>
      </c>
      <c r="G17" s="49" t="n">
        <v>46157</v>
      </c>
      <c r="H17" s="47" t="inlineStr">
        <is>
          <t>Marketing</t>
        </is>
      </c>
      <c r="I17" s="47" t="inlineStr">
        <is>
          <t>6600</t>
        </is>
      </c>
      <c r="J17" s="47" t="inlineStr">
        <is>
          <t>PO-2026-1015</t>
        </is>
      </c>
      <c r="K17" s="50" t="inlineStr">
        <is>
          <t>Overdue</t>
        </is>
      </c>
      <c r="L17" s="47">
        <f>IF([@Status]&lt;&gt;"Paid",MAX(0,TODAY()-[@[Due Date]]),0)</f>
        <v/>
      </c>
    </row>
    <row r="18" ht="15" customHeight="1">
      <c r="A18" s="51" t="inlineStr">
        <is>
          <t>PO-2026-1016</t>
        </is>
      </c>
      <c r="B18" s="52" t="inlineStr">
        <is>
          <t>SUP002</t>
        </is>
      </c>
      <c r="C18" s="51" t="inlineStr">
        <is>
          <t>TechParts Solutions</t>
        </is>
      </c>
      <c r="D18" s="53" t="n">
        <v>18709.99</v>
      </c>
      <c r="E18" s="52" t="inlineStr">
        <is>
          <t>EUR</t>
        </is>
      </c>
      <c r="F18" s="54" t="n">
        <v>46133</v>
      </c>
      <c r="G18" s="54" t="n">
        <v>46188</v>
      </c>
      <c r="H18" s="52" t="inlineStr">
        <is>
          <t>Marketing</t>
        </is>
      </c>
      <c r="I18" s="52" t="inlineStr">
        <is>
          <t>6600</t>
        </is>
      </c>
      <c r="J18" s="52" t="inlineStr">
        <is>
          <t>PO-2026-1016</t>
        </is>
      </c>
      <c r="K18" s="55" t="inlineStr">
        <is>
          <t>Paid</t>
        </is>
      </c>
      <c r="L18" s="52">
        <f>IF([@Status]&lt;&gt;"Paid",MAX(0,TODAY()-[@[Due Date]]),0)</f>
        <v/>
      </c>
    </row>
    <row r="19" ht="15" customHeight="1">
      <c r="A19" s="51" t="inlineStr">
        <is>
          <t>PO-2026-1017</t>
        </is>
      </c>
      <c r="B19" s="52" t="inlineStr">
        <is>
          <t>SUP002</t>
        </is>
      </c>
      <c r="C19" s="51" t="inlineStr">
        <is>
          <t>TechParts Solutions</t>
        </is>
      </c>
      <c r="D19" s="53" t="n">
        <v>12228.3</v>
      </c>
      <c r="E19" s="52" t="inlineStr">
        <is>
          <t>EUR</t>
        </is>
      </c>
      <c r="F19" s="54" t="n">
        <v>46151</v>
      </c>
      <c r="G19" s="54" t="n">
        <v>46195</v>
      </c>
      <c r="H19" s="52" t="inlineStr">
        <is>
          <t>Marketing</t>
        </is>
      </c>
      <c r="I19" s="52" t="inlineStr">
        <is>
          <t>6600</t>
        </is>
      </c>
      <c r="J19" s="52" t="inlineStr">
        <is>
          <t>PO-2026-1017</t>
        </is>
      </c>
      <c r="K19" s="55" t="inlineStr">
        <is>
          <t>Paid</t>
        </is>
      </c>
      <c r="L19" s="52">
        <f>IF([@Status]&lt;&gt;"Paid",MAX(0,TODAY()-[@[Due Date]]),0)</f>
        <v/>
      </c>
    </row>
    <row r="20" ht="15" customHeight="1">
      <c r="A20" s="56" t="inlineStr">
        <is>
          <t>PO-2026-1018</t>
        </is>
      </c>
      <c r="B20" s="57" t="inlineStr">
        <is>
          <t>SUP002</t>
        </is>
      </c>
      <c r="C20" s="56" t="inlineStr">
        <is>
          <t>TechParts Solutions</t>
        </is>
      </c>
      <c r="D20" s="58" t="n">
        <v>40555.3</v>
      </c>
      <c r="E20" s="57" t="inlineStr">
        <is>
          <t>EUR</t>
        </is>
      </c>
      <c r="F20" s="59" t="n">
        <v>46192</v>
      </c>
      <c r="G20" s="59" t="n">
        <v>46245</v>
      </c>
      <c r="H20" s="57" t="inlineStr">
        <is>
          <t>Marketing</t>
        </is>
      </c>
      <c r="I20" s="57" t="inlineStr">
        <is>
          <t>6600</t>
        </is>
      </c>
      <c r="J20" s="57" t="inlineStr">
        <is>
          <t>PO-2026-1018</t>
        </is>
      </c>
      <c r="K20" s="60" t="inlineStr">
        <is>
          <t>Open</t>
        </is>
      </c>
      <c r="L20" s="57">
        <f>IF([@Status]&lt;&gt;"Paid",MAX(0,TODAY()-[@[Due Date]]),0)</f>
        <v/>
      </c>
    </row>
    <row r="21" ht="15" customHeight="1">
      <c r="A21" s="56" t="inlineStr">
        <is>
          <t>TechParts Solutions</t>
        </is>
      </c>
      <c r="B21" s="57" t="inlineStr">
        <is>
          <t>SUP002</t>
        </is>
      </c>
      <c r="C21" s="56" t="inlineStr">
        <is>
          <t>TechParts Solutions</t>
        </is>
      </c>
      <c r="D21" s="58" t="n">
        <v>44883.67</v>
      </c>
      <c r="E21" s="57" t="inlineStr">
        <is>
          <t>EUR</t>
        </is>
      </c>
      <c r="F21" s="59" t="n">
        <v>46185</v>
      </c>
      <c r="G21" s="59" t="n">
        <v>46232</v>
      </c>
      <c r="H21" s="57" t="inlineStr">
        <is>
          <t>Marketing</t>
        </is>
      </c>
      <c r="I21" s="57" t="inlineStr">
        <is>
          <t>6600</t>
        </is>
      </c>
      <c r="J21" s="57" t="inlineStr">
        <is>
          <t>PO-2026-1019</t>
        </is>
      </c>
      <c r="K21" s="60" t="inlineStr">
        <is>
          <t>Open</t>
        </is>
      </c>
      <c r="L21" s="57">
        <f>IF([@Status]&lt;&gt;"Paid",MAX(0,TODAY()-[@[Due Date]]),0)</f>
        <v/>
      </c>
    </row>
    <row r="22" ht="15" customHeight="1">
      <c r="A22" s="56" t="inlineStr">
        <is>
          <t>TechParts Solutions</t>
        </is>
      </c>
      <c r="B22" s="57" t="inlineStr">
        <is>
          <t>SUP002</t>
        </is>
      </c>
      <c r="C22" s="56" t="inlineStr">
        <is>
          <t>TechParts Solutions</t>
        </is>
      </c>
      <c r="D22" s="58" t="n">
        <v>5454.56</v>
      </c>
      <c r="E22" s="57" t="inlineStr">
        <is>
          <t>EUR</t>
        </is>
      </c>
      <c r="F22" s="59" t="n">
        <v>46190</v>
      </c>
      <c r="G22" s="59" t="n">
        <v>46245</v>
      </c>
      <c r="H22" s="57" t="inlineStr">
        <is>
          <t>Marketing</t>
        </is>
      </c>
      <c r="I22" s="57" t="inlineStr">
        <is>
          <t>6600</t>
        </is>
      </c>
      <c r="J22" s="57" t="inlineStr">
        <is>
          <t>PO-2026-1020</t>
        </is>
      </c>
      <c r="K22" s="60" t="inlineStr">
        <is>
          <t>Open</t>
        </is>
      </c>
      <c r="L22" s="57">
        <f>IF([@Status]&lt;&gt;"Paid",MAX(0,TODAY()-[@[Due Date]]),0)</f>
        <v/>
      </c>
    </row>
    <row r="23" ht="15" customHeight="1">
      <c r="A23" s="56" t="inlineStr">
        <is>
          <t>PO-2026-1021</t>
        </is>
      </c>
      <c r="B23" s="57" t="inlineStr">
        <is>
          <t>SUP002</t>
        </is>
      </c>
      <c r="C23" s="56" t="inlineStr">
        <is>
          <t>TechParts Solutions</t>
        </is>
      </c>
      <c r="D23" s="58" t="n">
        <v>35955.45</v>
      </c>
      <c r="E23" s="57" t="inlineStr">
        <is>
          <t>EUR</t>
        </is>
      </c>
      <c r="F23" s="59" t="n">
        <v>46208</v>
      </c>
      <c r="G23" s="59" t="n">
        <v>46253</v>
      </c>
      <c r="H23" s="57" t="inlineStr">
        <is>
          <t>Marketing</t>
        </is>
      </c>
      <c r="I23" s="57" t="inlineStr">
        <is>
          <t>6600</t>
        </is>
      </c>
      <c r="J23" s="57" t="inlineStr">
        <is>
          <t>PO-2026-1021</t>
        </is>
      </c>
      <c r="K23" s="60" t="inlineStr">
        <is>
          <t>Open</t>
        </is>
      </c>
      <c r="L23" s="57">
        <f>IF([@Status]&lt;&gt;"Paid",MAX(0,TODAY()-[@[Due Date]]),0)</f>
        <v/>
      </c>
    </row>
    <row r="24" ht="15" customHeight="1">
      <c r="A24" s="51" t="inlineStr">
        <is>
          <t>Global Freight NL</t>
        </is>
      </c>
      <c r="B24" s="52" t="inlineStr">
        <is>
          <t>SUP003</t>
        </is>
      </c>
      <c r="C24" s="51" t="inlineStr">
        <is>
          <t>Global Freight NL</t>
        </is>
      </c>
      <c r="D24" s="53" t="n">
        <v>24516.47</v>
      </c>
      <c r="E24" s="52" t="inlineStr">
        <is>
          <t>EUR</t>
        </is>
      </c>
      <c r="F24" s="54" t="n">
        <v>46035</v>
      </c>
      <c r="G24" s="54" t="n">
        <v>46074</v>
      </c>
      <c r="H24" s="52" t="inlineStr">
        <is>
          <t>IT</t>
        </is>
      </c>
      <c r="I24" s="52" t="inlineStr">
        <is>
          <t>6200</t>
        </is>
      </c>
      <c r="J24" s="52" t="inlineStr">
        <is>
          <t>PO-2026-1022</t>
        </is>
      </c>
      <c r="K24" s="55" t="inlineStr">
        <is>
          <t>Paid</t>
        </is>
      </c>
      <c r="L24" s="52">
        <f>IF([@Status]&lt;&gt;"Paid",MAX(0,TODAY()-[@[Due Date]]),0)</f>
        <v/>
      </c>
    </row>
    <row r="25" ht="15" customHeight="1">
      <c r="A25" s="46" t="inlineStr">
        <is>
          <t>PO-2026-1023</t>
        </is>
      </c>
      <c r="B25" s="47" t="inlineStr">
        <is>
          <t>SUP003</t>
        </is>
      </c>
      <c r="C25" s="46" t="inlineStr">
        <is>
          <t>Global Freight NL</t>
        </is>
      </c>
      <c r="D25" s="48" t="n">
        <v>31154.4</v>
      </c>
      <c r="E25" s="47" t="inlineStr">
        <is>
          <t>EUR</t>
        </is>
      </c>
      <c r="F25" s="49" t="n">
        <v>46044</v>
      </c>
      <c r="G25" s="49" t="n">
        <v>46072</v>
      </c>
      <c r="H25" s="47" t="inlineStr">
        <is>
          <t>IT</t>
        </is>
      </c>
      <c r="I25" s="47" t="inlineStr">
        <is>
          <t>6200</t>
        </is>
      </c>
      <c r="J25" s="47" t="inlineStr">
        <is>
          <t>PO-2026-1023</t>
        </is>
      </c>
      <c r="K25" s="50" t="inlineStr">
        <is>
          <t>Overdue</t>
        </is>
      </c>
      <c r="L25" s="47">
        <f>IF([@Status]&lt;&gt;"Paid",MAX(0,TODAY()-[@[Due Date]]),0)</f>
        <v/>
      </c>
    </row>
    <row r="26" ht="15" customHeight="1">
      <c r="A26" s="46" t="inlineStr">
        <is>
          <t>Global Freight NL</t>
        </is>
      </c>
      <c r="B26" s="47" t="inlineStr">
        <is>
          <t>SUP003</t>
        </is>
      </c>
      <c r="C26" s="46" t="inlineStr">
        <is>
          <t>Global Freight NL</t>
        </is>
      </c>
      <c r="D26" s="48" t="n">
        <v>14267.26</v>
      </c>
      <c r="E26" s="47" t="inlineStr">
        <is>
          <t>EUR</t>
        </is>
      </c>
      <c r="F26" s="49" t="n">
        <v>46064</v>
      </c>
      <c r="G26" s="49" t="n">
        <v>46092</v>
      </c>
      <c r="H26" s="47" t="inlineStr">
        <is>
          <t>IT</t>
        </is>
      </c>
      <c r="I26" s="47" t="inlineStr">
        <is>
          <t>6200</t>
        </is>
      </c>
      <c r="J26" s="47" t="inlineStr">
        <is>
          <t>PO-2026-1024</t>
        </is>
      </c>
      <c r="K26" s="50" t="inlineStr">
        <is>
          <t>Overdue</t>
        </is>
      </c>
      <c r="L26" s="47">
        <f>IF([@Status]&lt;&gt;"Paid",MAX(0,TODAY()-[@[Due Date]]),0)</f>
        <v/>
      </c>
    </row>
    <row r="27" ht="15" customHeight="1">
      <c r="A27" s="51" t="inlineStr">
        <is>
          <t>Global Freight NL</t>
        </is>
      </c>
      <c r="B27" s="52" t="inlineStr">
        <is>
          <t>SUP003</t>
        </is>
      </c>
      <c r="C27" s="51" t="inlineStr">
        <is>
          <t>Global Freight NL</t>
        </is>
      </c>
      <c r="D27" s="53" t="n">
        <v>43777.13</v>
      </c>
      <c r="E27" s="52" t="inlineStr">
        <is>
          <t>EUR</t>
        </is>
      </c>
      <c r="F27" s="54" t="n">
        <v>46077</v>
      </c>
      <c r="G27" s="54" t="n">
        <v>46110</v>
      </c>
      <c r="H27" s="52" t="inlineStr">
        <is>
          <t>IT</t>
        </is>
      </c>
      <c r="I27" s="52" t="inlineStr">
        <is>
          <t>6200</t>
        </is>
      </c>
      <c r="J27" s="52" t="inlineStr">
        <is>
          <t>PO-2026-1025</t>
        </is>
      </c>
      <c r="K27" s="55" t="inlineStr">
        <is>
          <t>Paid</t>
        </is>
      </c>
      <c r="L27" s="52">
        <f>IF([@Status]&lt;&gt;"Paid",MAX(0,TODAY()-[@[Due Date]]),0)</f>
        <v/>
      </c>
    </row>
    <row r="28" ht="15" customHeight="1">
      <c r="A28" s="46" t="inlineStr">
        <is>
          <t>Global Freight NL</t>
        </is>
      </c>
      <c r="B28" s="47" t="inlineStr">
        <is>
          <t>SUP003</t>
        </is>
      </c>
      <c r="C28" s="46" t="inlineStr">
        <is>
          <t>Global Freight NL</t>
        </is>
      </c>
      <c r="D28" s="48" t="n">
        <v>38112.62</v>
      </c>
      <c r="E28" s="47" t="inlineStr">
        <is>
          <t>EUR</t>
        </is>
      </c>
      <c r="F28" s="49" t="n">
        <v>46081</v>
      </c>
      <c r="G28" s="49" t="n">
        <v>46115</v>
      </c>
      <c r="H28" s="47" t="inlineStr">
        <is>
          <t>IT</t>
        </is>
      </c>
      <c r="I28" s="47" t="inlineStr">
        <is>
          <t>6200</t>
        </is>
      </c>
      <c r="J28" s="47" t="inlineStr">
        <is>
          <t>PO-2026-1026</t>
        </is>
      </c>
      <c r="K28" s="50" t="inlineStr">
        <is>
          <t>Overdue</t>
        </is>
      </c>
      <c r="L28" s="47">
        <f>IF([@Status]&lt;&gt;"Paid",MAX(0,TODAY()-[@[Due Date]]),0)</f>
        <v/>
      </c>
    </row>
    <row r="29" ht="15" customHeight="1">
      <c r="A29" s="51" t="inlineStr">
        <is>
          <t>Global Freight NL</t>
        </is>
      </c>
      <c r="B29" s="52" t="inlineStr">
        <is>
          <t>SUP003</t>
        </is>
      </c>
      <c r="C29" s="51" t="inlineStr">
        <is>
          <t>Global Freight NL</t>
        </is>
      </c>
      <c r="D29" s="53" t="n">
        <v>24962.99</v>
      </c>
      <c r="E29" s="52" t="inlineStr">
        <is>
          <t>EUR</t>
        </is>
      </c>
      <c r="F29" s="54" t="n">
        <v>46093</v>
      </c>
      <c r="G29" s="54" t="n">
        <v>46123</v>
      </c>
      <c r="H29" s="52" t="inlineStr">
        <is>
          <t>IT</t>
        </is>
      </c>
      <c r="I29" s="52" t="inlineStr">
        <is>
          <t>6200</t>
        </is>
      </c>
      <c r="J29" s="52" t="inlineStr">
        <is>
          <t>PO-2026-1027</t>
        </is>
      </c>
      <c r="K29" s="55" t="inlineStr">
        <is>
          <t>Paid</t>
        </is>
      </c>
      <c r="L29" s="52">
        <f>IF([@Status]&lt;&gt;"Paid",MAX(0,TODAY()-[@[Due Date]]),0)</f>
        <v/>
      </c>
    </row>
    <row r="30" ht="15" customHeight="1">
      <c r="A30" s="51" t="inlineStr">
        <is>
          <t>PO-2026-1028</t>
        </is>
      </c>
      <c r="B30" s="52" t="inlineStr">
        <is>
          <t>SUP003</t>
        </is>
      </c>
      <c r="C30" s="51" t="inlineStr">
        <is>
          <t>Global Freight NL</t>
        </is>
      </c>
      <c r="D30" s="53" t="n">
        <v>2347.24</v>
      </c>
      <c r="E30" s="52" t="inlineStr">
        <is>
          <t>EUR</t>
        </is>
      </c>
      <c r="F30" s="54" t="n">
        <v>46123</v>
      </c>
      <c r="G30" s="54" t="n">
        <v>46163</v>
      </c>
      <c r="H30" s="52" t="inlineStr">
        <is>
          <t>IT</t>
        </is>
      </c>
      <c r="I30" s="52" t="inlineStr">
        <is>
          <t>6200</t>
        </is>
      </c>
      <c r="J30" s="52" t="inlineStr">
        <is>
          <t>PO-2026-1028</t>
        </is>
      </c>
      <c r="K30" s="55" t="inlineStr">
        <is>
          <t>Paid</t>
        </is>
      </c>
      <c r="L30" s="52">
        <f>IF([@Status]&lt;&gt;"Paid",MAX(0,TODAY()-[@[Due Date]]),0)</f>
        <v/>
      </c>
    </row>
    <row r="31" ht="15" customHeight="1">
      <c r="A31" s="51" t="inlineStr">
        <is>
          <t>Global Freight NL</t>
        </is>
      </c>
      <c r="B31" s="52" t="inlineStr">
        <is>
          <t>SUP003</t>
        </is>
      </c>
      <c r="C31" s="51" t="inlineStr">
        <is>
          <t>Global Freight NL</t>
        </is>
      </c>
      <c r="D31" s="53" t="n">
        <v>11977.91</v>
      </c>
      <c r="E31" s="52" t="inlineStr">
        <is>
          <t>EUR</t>
        </is>
      </c>
      <c r="F31" s="54" t="n">
        <v>46120</v>
      </c>
      <c r="G31" s="54" t="n">
        <v>46146</v>
      </c>
      <c r="H31" s="52" t="inlineStr">
        <is>
          <t>IT</t>
        </is>
      </c>
      <c r="I31" s="52" t="inlineStr">
        <is>
          <t>6200</t>
        </is>
      </c>
      <c r="J31" s="52" t="inlineStr">
        <is>
          <t>PO-2026-1029</t>
        </is>
      </c>
      <c r="K31" s="55" t="inlineStr">
        <is>
          <t>Paid</t>
        </is>
      </c>
      <c r="L31" s="52">
        <f>IF([@Status]&lt;&gt;"Paid",MAX(0,TODAY()-[@[Due Date]]),0)</f>
        <v/>
      </c>
    </row>
    <row r="32" ht="15" customHeight="1">
      <c r="A32" s="51" t="inlineStr">
        <is>
          <t>Global Freight NL</t>
        </is>
      </c>
      <c r="B32" s="52" t="inlineStr">
        <is>
          <t>SUP003</t>
        </is>
      </c>
      <c r="C32" s="51" t="inlineStr">
        <is>
          <t>Global Freight NL</t>
        </is>
      </c>
      <c r="D32" s="53" t="n">
        <v>36997.01</v>
      </c>
      <c r="E32" s="52" t="inlineStr">
        <is>
          <t>EUR</t>
        </is>
      </c>
      <c r="F32" s="54" t="n">
        <v>46115</v>
      </c>
      <c r="G32" s="54" t="n">
        <v>46155</v>
      </c>
      <c r="H32" s="52" t="inlineStr">
        <is>
          <t>IT</t>
        </is>
      </c>
      <c r="I32" s="52" t="inlineStr">
        <is>
          <t>6200</t>
        </is>
      </c>
      <c r="J32" s="52" t="inlineStr">
        <is>
          <t>PO-2026-1030</t>
        </is>
      </c>
      <c r="K32" s="55" t="inlineStr">
        <is>
          <t>Paid</t>
        </is>
      </c>
      <c r="L32" s="52">
        <f>IF([@Status]&lt;&gt;"Paid",MAX(0,TODAY()-[@[Due Date]]),0)</f>
        <v/>
      </c>
    </row>
    <row r="33" ht="15" customHeight="1">
      <c r="A33" s="46" t="inlineStr">
        <is>
          <t>PO-2026-1031</t>
        </is>
      </c>
      <c r="B33" s="47" t="inlineStr">
        <is>
          <t>SUP003</t>
        </is>
      </c>
      <c r="C33" s="46" t="inlineStr">
        <is>
          <t>Global Freight NL</t>
        </is>
      </c>
      <c r="D33" s="48" t="n">
        <v>42687.92</v>
      </c>
      <c r="E33" s="47" t="inlineStr">
        <is>
          <t>EUR</t>
        </is>
      </c>
      <c r="F33" s="49" t="n">
        <v>46164</v>
      </c>
      <c r="G33" s="49" t="n">
        <v>46204</v>
      </c>
      <c r="H33" s="47" t="inlineStr">
        <is>
          <t>IT</t>
        </is>
      </c>
      <c r="I33" s="47" t="inlineStr">
        <is>
          <t>6200</t>
        </is>
      </c>
      <c r="J33" s="47" t="inlineStr">
        <is>
          <t>PO-2026-1031</t>
        </is>
      </c>
      <c r="K33" s="50" t="inlineStr">
        <is>
          <t>Overdue</t>
        </is>
      </c>
      <c r="L33" s="47">
        <f>IF([@Status]&lt;&gt;"Paid",MAX(0,TODAY()-[@[Due Date]]),0)</f>
        <v/>
      </c>
    </row>
    <row r="34" ht="15" customHeight="1">
      <c r="A34" s="56" t="inlineStr">
        <is>
          <t>PO-2026-1032</t>
        </is>
      </c>
      <c r="B34" s="57" t="inlineStr">
        <is>
          <t>SUP003</t>
        </is>
      </c>
      <c r="C34" s="56" t="inlineStr">
        <is>
          <t>Global Freight NL</t>
        </is>
      </c>
      <c r="D34" s="58" t="n">
        <v>32513.28</v>
      </c>
      <c r="E34" s="57" t="inlineStr">
        <is>
          <t>EUR</t>
        </is>
      </c>
      <c r="F34" s="59" t="n">
        <v>46203</v>
      </c>
      <c r="G34" s="59" t="n">
        <v>46234</v>
      </c>
      <c r="H34" s="57" t="inlineStr">
        <is>
          <t>IT</t>
        </is>
      </c>
      <c r="I34" s="57" t="inlineStr">
        <is>
          <t>6200</t>
        </is>
      </c>
      <c r="J34" s="57" t="inlineStr">
        <is>
          <t>PO-2026-1032</t>
        </is>
      </c>
      <c r="K34" s="60" t="inlineStr">
        <is>
          <t>Open</t>
        </is>
      </c>
      <c r="L34" s="57">
        <f>IF([@Status]&lt;&gt;"Paid",MAX(0,TODAY()-[@[Due Date]]),0)</f>
        <v/>
      </c>
    </row>
    <row r="35" ht="15" customHeight="1">
      <c r="A35" s="56" t="inlineStr">
        <is>
          <t>PO-2026-1033</t>
        </is>
      </c>
      <c r="B35" s="57" t="inlineStr">
        <is>
          <t>SUP003</t>
        </is>
      </c>
      <c r="C35" s="56" t="inlineStr">
        <is>
          <t>Global Freight NL</t>
        </is>
      </c>
      <c r="D35" s="58" t="n">
        <v>20557.35</v>
      </c>
      <c r="E35" s="57" t="inlineStr">
        <is>
          <t>EUR</t>
        </is>
      </c>
      <c r="F35" s="59" t="n">
        <v>46224</v>
      </c>
      <c r="G35" s="59" t="n">
        <v>46260</v>
      </c>
      <c r="H35" s="57" t="inlineStr">
        <is>
          <t>IT</t>
        </is>
      </c>
      <c r="I35" s="57" t="inlineStr">
        <is>
          <t>6200</t>
        </is>
      </c>
      <c r="J35" s="57" t="inlineStr">
        <is>
          <t>PO-2026-1033</t>
        </is>
      </c>
      <c r="K35" s="60" t="inlineStr">
        <is>
          <t>Open</t>
        </is>
      </c>
      <c r="L35" s="57">
        <f>IF([@Status]&lt;&gt;"Paid",MAX(0,TODAY()-[@[Due Date]]),0)</f>
        <v/>
      </c>
    </row>
    <row r="36" ht="15" customHeight="1">
      <c r="A36" s="56" t="inlineStr">
        <is>
          <t>PO-2026-1034</t>
        </is>
      </c>
      <c r="B36" s="57" t="inlineStr">
        <is>
          <t>SUP003</t>
        </is>
      </c>
      <c r="C36" s="56" t="inlineStr">
        <is>
          <t>Global Freight NL</t>
        </is>
      </c>
      <c r="D36" s="58" t="n">
        <v>11274.33</v>
      </c>
      <c r="E36" s="57" t="inlineStr">
        <is>
          <t>EUR</t>
        </is>
      </c>
      <c r="F36" s="59" t="n">
        <v>46207</v>
      </c>
      <c r="G36" s="59" t="n">
        <v>46239</v>
      </c>
      <c r="H36" s="57" t="inlineStr">
        <is>
          <t>IT</t>
        </is>
      </c>
      <c r="I36" s="57" t="inlineStr">
        <is>
          <t>6200</t>
        </is>
      </c>
      <c r="J36" s="57" t="inlineStr">
        <is>
          <t>PO-2026-1034</t>
        </is>
      </c>
      <c r="K36" s="60" t="inlineStr">
        <is>
          <t>Open</t>
        </is>
      </c>
      <c r="L36" s="57">
        <f>IF([@Status]&lt;&gt;"Paid",MAX(0,TODAY()-[@[Due Date]]),0)</f>
        <v/>
      </c>
    </row>
    <row r="37" ht="15" customHeight="1">
      <c r="A37" s="56" t="inlineStr">
        <is>
          <t>Global Freight NL</t>
        </is>
      </c>
      <c r="B37" s="57" t="inlineStr">
        <is>
          <t>SUP003</t>
        </is>
      </c>
      <c r="C37" s="56" t="inlineStr">
        <is>
          <t>Global Freight NL</t>
        </is>
      </c>
      <c r="D37" s="58" t="n">
        <v>27097.14</v>
      </c>
      <c r="E37" s="57" t="inlineStr">
        <is>
          <t>EUR</t>
        </is>
      </c>
      <c r="F37" s="59" t="n">
        <v>46204</v>
      </c>
      <c r="G37" s="59" t="n">
        <v>46236</v>
      </c>
      <c r="H37" s="57" t="inlineStr">
        <is>
          <t>IT</t>
        </is>
      </c>
      <c r="I37" s="57" t="inlineStr">
        <is>
          <t>6200</t>
        </is>
      </c>
      <c r="J37" s="57" t="inlineStr">
        <is>
          <t>PO-2026-1035</t>
        </is>
      </c>
      <c r="K37" s="60" t="inlineStr">
        <is>
          <t>Open</t>
        </is>
      </c>
      <c r="L37" s="57">
        <f>IF([@Status]&lt;&gt;"Paid",MAX(0,TODAY()-[@[Due Date]]),0)</f>
        <v/>
      </c>
    </row>
    <row r="38" ht="15" customHeight="1">
      <c r="A38" s="51" t="inlineStr">
        <is>
          <t>PO-2026-1036</t>
        </is>
      </c>
      <c r="B38" s="52" t="inlineStr">
        <is>
          <t>SUP004</t>
        </is>
      </c>
      <c r="C38" s="51" t="inlineStr">
        <is>
          <t>OfficePlus Nederland</t>
        </is>
      </c>
      <c r="D38" s="53" t="n">
        <v>11458.97</v>
      </c>
      <c r="E38" s="52" t="inlineStr">
        <is>
          <t>EUR</t>
        </is>
      </c>
      <c r="F38" s="54" t="n">
        <v>46043</v>
      </c>
      <c r="G38" s="54" t="n">
        <v>46099</v>
      </c>
      <c r="H38" s="52" t="inlineStr">
        <is>
          <t>IT</t>
        </is>
      </c>
      <c r="I38" s="52" t="inlineStr">
        <is>
          <t>6200</t>
        </is>
      </c>
      <c r="J38" s="52" t="inlineStr">
        <is>
          <t>PO-2026-1036</t>
        </is>
      </c>
      <c r="K38" s="55" t="inlineStr">
        <is>
          <t>Paid</t>
        </is>
      </c>
      <c r="L38" s="52">
        <f>IF([@Status]&lt;&gt;"Paid",MAX(0,TODAY()-[@[Due Date]]),0)</f>
        <v/>
      </c>
    </row>
    <row r="39" ht="15" customHeight="1">
      <c r="A39" s="46" t="inlineStr">
        <is>
          <t>OfficePlus Nederland</t>
        </is>
      </c>
      <c r="B39" s="47" t="inlineStr">
        <is>
          <t>SUP004</t>
        </is>
      </c>
      <c r="C39" s="46" t="inlineStr">
        <is>
          <t>OfficePlus Nederland</t>
        </is>
      </c>
      <c r="D39" s="48" t="n">
        <v>13613.76</v>
      </c>
      <c r="E39" s="47" t="inlineStr">
        <is>
          <t>EUR</t>
        </is>
      </c>
      <c r="F39" s="49" t="n">
        <v>46025</v>
      </c>
      <c r="G39" s="49" t="n">
        <v>46087</v>
      </c>
      <c r="H39" s="47" t="inlineStr">
        <is>
          <t>IT</t>
        </is>
      </c>
      <c r="I39" s="47" t="inlineStr">
        <is>
          <t>6200</t>
        </is>
      </c>
      <c r="J39" s="47" t="inlineStr">
        <is>
          <t>PO-2026-1037</t>
        </is>
      </c>
      <c r="K39" s="50" t="inlineStr">
        <is>
          <t>Overdue</t>
        </is>
      </c>
      <c r="L39" s="47">
        <f>IF([@Status]&lt;&gt;"Paid",MAX(0,TODAY()-[@[Due Date]]),0)</f>
        <v/>
      </c>
    </row>
    <row r="40" ht="15" customHeight="1">
      <c r="A40" s="46" t="inlineStr">
        <is>
          <t>PO-2026-1038</t>
        </is>
      </c>
      <c r="B40" s="47" t="inlineStr">
        <is>
          <t>SUP004</t>
        </is>
      </c>
      <c r="C40" s="46" t="inlineStr">
        <is>
          <t>OfficePlus Nederland</t>
        </is>
      </c>
      <c r="D40" s="48" t="n">
        <v>12070.38</v>
      </c>
      <c r="E40" s="47" t="inlineStr">
        <is>
          <t>EUR</t>
        </is>
      </c>
      <c r="F40" s="49" t="n">
        <v>46046</v>
      </c>
      <c r="G40" s="49" t="n">
        <v>46116</v>
      </c>
      <c r="H40" s="47" t="inlineStr">
        <is>
          <t>IT</t>
        </is>
      </c>
      <c r="I40" s="47" t="inlineStr">
        <is>
          <t>6200</t>
        </is>
      </c>
      <c r="J40" s="47" t="inlineStr">
        <is>
          <t>PO-2026-1038</t>
        </is>
      </c>
      <c r="K40" s="50" t="inlineStr">
        <is>
          <t>Overdue</t>
        </is>
      </c>
      <c r="L40" s="47">
        <f>IF([@Status]&lt;&gt;"Paid",MAX(0,TODAY()-[@[Due Date]]),0)</f>
        <v/>
      </c>
    </row>
    <row r="41" ht="15" customHeight="1">
      <c r="A41" s="46" t="inlineStr">
        <is>
          <t>PO-2026-1039</t>
        </is>
      </c>
      <c r="B41" s="47" t="inlineStr">
        <is>
          <t>SUP004</t>
        </is>
      </c>
      <c r="C41" s="46" t="inlineStr">
        <is>
          <t>OfficePlus Nederland</t>
        </is>
      </c>
      <c r="D41" s="48" t="n">
        <v>30165.75</v>
      </c>
      <c r="E41" s="47" t="inlineStr">
        <is>
          <t>EUR</t>
        </is>
      </c>
      <c r="F41" s="49" t="n">
        <v>46057</v>
      </c>
      <c r="G41" s="49" t="n">
        <v>46115</v>
      </c>
      <c r="H41" s="47" t="inlineStr">
        <is>
          <t>IT</t>
        </is>
      </c>
      <c r="I41" s="47" t="inlineStr">
        <is>
          <t>6200</t>
        </is>
      </c>
      <c r="J41" s="47" t="inlineStr">
        <is>
          <t>PO-2026-1039</t>
        </is>
      </c>
      <c r="K41" s="50" t="inlineStr">
        <is>
          <t>Overdue</t>
        </is>
      </c>
      <c r="L41" s="47">
        <f>IF([@Status]&lt;&gt;"Paid",MAX(0,TODAY()-[@[Due Date]]),0)</f>
        <v/>
      </c>
    </row>
    <row r="42" ht="15" customHeight="1">
      <c r="A42" s="51" t="inlineStr">
        <is>
          <t>OfficePlus Nederland</t>
        </is>
      </c>
      <c r="B42" s="52" t="inlineStr">
        <is>
          <t>SUP004</t>
        </is>
      </c>
      <c r="C42" s="51" t="inlineStr">
        <is>
          <t>OfficePlus Nederland</t>
        </is>
      </c>
      <c r="D42" s="53" t="n">
        <v>30791.36</v>
      </c>
      <c r="E42" s="52" t="inlineStr">
        <is>
          <t>EUR</t>
        </is>
      </c>
      <c r="F42" s="54" t="n">
        <v>46109</v>
      </c>
      <c r="G42" s="54" t="n">
        <v>46165</v>
      </c>
      <c r="H42" s="52" t="inlineStr">
        <is>
          <t>IT</t>
        </is>
      </c>
      <c r="I42" s="52" t="inlineStr">
        <is>
          <t>6200</t>
        </is>
      </c>
      <c r="J42" s="52" t="inlineStr">
        <is>
          <t>PO-2026-1040</t>
        </is>
      </c>
      <c r="K42" s="55" t="inlineStr">
        <is>
          <t>Paid</t>
        </is>
      </c>
      <c r="L42" s="52">
        <f>IF([@Status]&lt;&gt;"Paid",MAX(0,TODAY()-[@[Due Date]]),0)</f>
        <v/>
      </c>
    </row>
    <row r="43" ht="15" customHeight="1">
      <c r="A43" s="51" t="inlineStr">
        <is>
          <t>OfficePlus Nederland</t>
        </is>
      </c>
      <c r="B43" s="52" t="inlineStr">
        <is>
          <t>SUP004</t>
        </is>
      </c>
      <c r="C43" s="51" t="inlineStr">
        <is>
          <t>OfficePlus Nederland</t>
        </is>
      </c>
      <c r="D43" s="53" t="n">
        <v>33177.29</v>
      </c>
      <c r="E43" s="52" t="inlineStr">
        <is>
          <t>EUR</t>
        </is>
      </c>
      <c r="F43" s="54" t="n">
        <v>46083</v>
      </c>
      <c r="G43" s="54" t="n">
        <v>46150</v>
      </c>
      <c r="H43" s="52" t="inlineStr">
        <is>
          <t>IT</t>
        </is>
      </c>
      <c r="I43" s="52" t="inlineStr">
        <is>
          <t>6200</t>
        </is>
      </c>
      <c r="J43" s="52" t="inlineStr">
        <is>
          <t>PO-2026-1041</t>
        </is>
      </c>
      <c r="K43" s="55" t="inlineStr">
        <is>
          <t>Paid</t>
        </is>
      </c>
      <c r="L43" s="52">
        <f>IF([@Status]&lt;&gt;"Paid",MAX(0,TODAY()-[@[Due Date]]),0)</f>
        <v/>
      </c>
    </row>
    <row r="44" ht="15" customHeight="1">
      <c r="A44" s="46" t="inlineStr">
        <is>
          <t>OfficePlus Nederland</t>
        </is>
      </c>
      <c r="B44" s="47" t="inlineStr">
        <is>
          <t>SUP004</t>
        </is>
      </c>
      <c r="C44" s="46" t="inlineStr">
        <is>
          <t>OfficePlus Nederland</t>
        </is>
      </c>
      <c r="D44" s="48" t="n">
        <v>24828.43</v>
      </c>
      <c r="E44" s="47" t="inlineStr">
        <is>
          <t>EUR</t>
        </is>
      </c>
      <c r="F44" s="49" t="n">
        <v>46119</v>
      </c>
      <c r="G44" s="49" t="n">
        <v>46180</v>
      </c>
      <c r="H44" s="47" t="inlineStr">
        <is>
          <t>IT</t>
        </is>
      </c>
      <c r="I44" s="47" t="inlineStr">
        <is>
          <t>6200</t>
        </is>
      </c>
      <c r="J44" s="47" t="inlineStr">
        <is>
          <t>PO-2026-1042</t>
        </is>
      </c>
      <c r="K44" s="50" t="inlineStr">
        <is>
          <t>Overdue</t>
        </is>
      </c>
      <c r="L44" s="47">
        <f>IF([@Status]&lt;&gt;"Paid",MAX(0,TODAY()-[@[Due Date]]),0)</f>
        <v/>
      </c>
    </row>
    <row r="45" ht="15" customHeight="1">
      <c r="A45" s="46" t="inlineStr">
        <is>
          <t>OfficePlus Nederland</t>
        </is>
      </c>
      <c r="B45" s="47" t="inlineStr">
        <is>
          <t>SUP004</t>
        </is>
      </c>
      <c r="C45" s="46" t="inlineStr">
        <is>
          <t>OfficePlus Nederland</t>
        </is>
      </c>
      <c r="D45" s="48" t="n">
        <v>39540.14</v>
      </c>
      <c r="E45" s="47" t="inlineStr">
        <is>
          <t>EUR</t>
        </is>
      </c>
      <c r="F45" s="49" t="n">
        <v>46157</v>
      </c>
      <c r="G45" s="49" t="n">
        <v>46219</v>
      </c>
      <c r="H45" s="47" t="inlineStr">
        <is>
          <t>IT</t>
        </is>
      </c>
      <c r="I45" s="47" t="inlineStr">
        <is>
          <t>6200</t>
        </is>
      </c>
      <c r="J45" s="47" t="inlineStr">
        <is>
          <t>PO-2026-1043</t>
        </is>
      </c>
      <c r="K45" s="50" t="inlineStr">
        <is>
          <t>Overdue</t>
        </is>
      </c>
      <c r="L45" s="47">
        <f>IF([@Status]&lt;&gt;"Paid",MAX(0,TODAY()-[@[Due Date]]),0)</f>
        <v/>
      </c>
    </row>
    <row r="46" ht="15" customHeight="1">
      <c r="A46" s="51" t="inlineStr">
        <is>
          <t>OfficePlus Nederland</t>
        </is>
      </c>
      <c r="B46" s="52" t="inlineStr">
        <is>
          <t>SUP004</t>
        </is>
      </c>
      <c r="C46" s="51" t="inlineStr">
        <is>
          <t>OfficePlus Nederland</t>
        </is>
      </c>
      <c r="D46" s="53" t="n">
        <v>43651.34</v>
      </c>
      <c r="E46" s="52" t="inlineStr">
        <is>
          <t>EUR</t>
        </is>
      </c>
      <c r="F46" s="54" t="n">
        <v>46144</v>
      </c>
      <c r="G46" s="54" t="n">
        <v>46199</v>
      </c>
      <c r="H46" s="52" t="inlineStr">
        <is>
          <t>IT</t>
        </is>
      </c>
      <c r="I46" s="52" t="inlineStr">
        <is>
          <t>6200</t>
        </is>
      </c>
      <c r="J46" s="52" t="inlineStr">
        <is>
          <t>PO-2026-1044</t>
        </is>
      </c>
      <c r="K46" s="55" t="inlineStr">
        <is>
          <t>Paid</t>
        </is>
      </c>
      <c r="L46" s="52">
        <f>IF([@Status]&lt;&gt;"Paid",MAX(0,TODAY()-[@[Due Date]]),0)</f>
        <v/>
      </c>
    </row>
    <row r="47" ht="15" customHeight="1">
      <c r="A47" s="56" t="inlineStr">
        <is>
          <t>PO-2026-1045</t>
        </is>
      </c>
      <c r="B47" s="57" t="inlineStr">
        <is>
          <t>SUP004</t>
        </is>
      </c>
      <c r="C47" s="56" t="inlineStr">
        <is>
          <t>OfficePlus Nederland</t>
        </is>
      </c>
      <c r="D47" s="58" t="n">
        <v>22439.09</v>
      </c>
      <c r="E47" s="57" t="inlineStr">
        <is>
          <t>EUR</t>
        </is>
      </c>
      <c r="F47" s="59" t="n">
        <v>46187</v>
      </c>
      <c r="G47" s="59" t="n">
        <v>46257</v>
      </c>
      <c r="H47" s="57" t="inlineStr">
        <is>
          <t>IT</t>
        </is>
      </c>
      <c r="I47" s="57" t="inlineStr">
        <is>
          <t>6200</t>
        </is>
      </c>
      <c r="J47" s="57" t="inlineStr">
        <is>
          <t>PO-2026-1045</t>
        </is>
      </c>
      <c r="K47" s="60" t="inlineStr">
        <is>
          <t>Open</t>
        </is>
      </c>
      <c r="L47" s="57">
        <f>IF([@Status]&lt;&gt;"Paid",MAX(0,TODAY()-[@[Due Date]]),0)</f>
        <v/>
      </c>
    </row>
    <row r="48" ht="15" customHeight="1">
      <c r="A48" s="56" t="inlineStr">
        <is>
          <t>PO-2026-1046</t>
        </is>
      </c>
      <c r="B48" s="57" t="inlineStr">
        <is>
          <t>SUP004</t>
        </is>
      </c>
      <c r="C48" s="56" t="inlineStr">
        <is>
          <t>OfficePlus Nederland</t>
        </is>
      </c>
      <c r="D48" s="58" t="n">
        <v>1593.76</v>
      </c>
      <c r="E48" s="57" t="inlineStr">
        <is>
          <t>EUR</t>
        </is>
      </c>
      <c r="F48" s="59" t="n">
        <v>46209</v>
      </c>
      <c r="G48" s="59" t="n">
        <v>46276</v>
      </c>
      <c r="H48" s="57" t="inlineStr">
        <is>
          <t>IT</t>
        </is>
      </c>
      <c r="I48" s="57" t="inlineStr">
        <is>
          <t>6200</t>
        </is>
      </c>
      <c r="J48" s="57" t="inlineStr">
        <is>
          <t>PO-2026-1046</t>
        </is>
      </c>
      <c r="K48" s="60" t="inlineStr">
        <is>
          <t>Open</t>
        </is>
      </c>
      <c r="L48" s="57">
        <f>IF([@Status]&lt;&gt;"Paid",MAX(0,TODAY()-[@[Due Date]]),0)</f>
        <v/>
      </c>
    </row>
    <row r="49" ht="15" customHeight="1">
      <c r="A49" s="51" t="inlineStr">
        <is>
          <t>PO-2026-1047</t>
        </is>
      </c>
      <c r="B49" s="52" t="inlineStr">
        <is>
          <t>SUP005</t>
        </is>
      </c>
      <c r="C49" s="51" t="inlineStr">
        <is>
          <t>CleanServ BV</t>
        </is>
      </c>
      <c r="D49" s="53" t="n">
        <v>31801.73</v>
      </c>
      <c r="E49" s="52" t="inlineStr">
        <is>
          <t>EUR</t>
        </is>
      </c>
      <c r="F49" s="54" t="n">
        <v>46032</v>
      </c>
      <c r="G49" s="54" t="n">
        <v>46070</v>
      </c>
      <c r="H49" s="52" t="inlineStr">
        <is>
          <t>HR</t>
        </is>
      </c>
      <c r="I49" s="52" t="inlineStr">
        <is>
          <t>6500</t>
        </is>
      </c>
      <c r="J49" s="52" t="inlineStr">
        <is>
          <t>PO-2026-1047</t>
        </is>
      </c>
      <c r="K49" s="55" t="inlineStr">
        <is>
          <t>Paid</t>
        </is>
      </c>
      <c r="L49" s="52">
        <f>IF([@Status]&lt;&gt;"Paid",MAX(0,TODAY()-[@[Due Date]]),0)</f>
        <v/>
      </c>
    </row>
    <row r="50" ht="15" customHeight="1">
      <c r="A50" s="51" t="inlineStr">
        <is>
          <t>CleanServ BV</t>
        </is>
      </c>
      <c r="B50" s="52" t="inlineStr">
        <is>
          <t>SUP005</t>
        </is>
      </c>
      <c r="C50" s="51" t="inlineStr">
        <is>
          <t>CleanServ BV</t>
        </is>
      </c>
      <c r="D50" s="53" t="n">
        <v>14406.79</v>
      </c>
      <c r="E50" s="52" t="inlineStr">
        <is>
          <t>EUR</t>
        </is>
      </c>
      <c r="F50" s="54" t="n">
        <v>46027</v>
      </c>
      <c r="G50" s="54" t="n">
        <v>46058</v>
      </c>
      <c r="H50" s="52" t="inlineStr">
        <is>
          <t>HR</t>
        </is>
      </c>
      <c r="I50" s="52" t="inlineStr">
        <is>
          <t>6500</t>
        </is>
      </c>
      <c r="J50" s="52" t="inlineStr">
        <is>
          <t>PO-2026-1048</t>
        </is>
      </c>
      <c r="K50" s="55" t="inlineStr">
        <is>
          <t>Paid</t>
        </is>
      </c>
      <c r="L50" s="52">
        <f>IF([@Status]&lt;&gt;"Paid",MAX(0,TODAY()-[@[Due Date]]),0)</f>
        <v/>
      </c>
    </row>
    <row r="51" ht="15" customHeight="1">
      <c r="A51" s="46" t="inlineStr">
        <is>
          <t>CleanServ BV</t>
        </is>
      </c>
      <c r="B51" s="47" t="inlineStr">
        <is>
          <t>SUP005</t>
        </is>
      </c>
      <c r="C51" s="46" t="inlineStr">
        <is>
          <t>CleanServ BV</t>
        </is>
      </c>
      <c r="D51" s="48" t="n">
        <v>3681.19</v>
      </c>
      <c r="E51" s="47" t="inlineStr">
        <is>
          <t>EUR</t>
        </is>
      </c>
      <c r="F51" s="49" t="n">
        <v>46064</v>
      </c>
      <c r="G51" s="49" t="n">
        <v>46090</v>
      </c>
      <c r="H51" s="47" t="inlineStr">
        <is>
          <t>HR</t>
        </is>
      </c>
      <c r="I51" s="47" t="inlineStr">
        <is>
          <t>6500</t>
        </is>
      </c>
      <c r="J51" s="47" t="inlineStr">
        <is>
          <t>PO-2026-1049</t>
        </is>
      </c>
      <c r="K51" s="50" t="inlineStr">
        <is>
          <t>Overdue</t>
        </is>
      </c>
      <c r="L51" s="47">
        <f>IF([@Status]&lt;&gt;"Paid",MAX(0,TODAY()-[@[Due Date]]),0)</f>
        <v/>
      </c>
    </row>
    <row r="52" ht="15" customHeight="1">
      <c r="A52" s="46" t="inlineStr">
        <is>
          <t>CleanServ BV</t>
        </is>
      </c>
      <c r="B52" s="47" t="inlineStr">
        <is>
          <t>SUP005</t>
        </is>
      </c>
      <c r="C52" s="46" t="inlineStr">
        <is>
          <t>CleanServ BV</t>
        </is>
      </c>
      <c r="D52" s="48" t="n">
        <v>38533.4</v>
      </c>
      <c r="E52" s="47" t="inlineStr">
        <is>
          <t>EUR</t>
        </is>
      </c>
      <c r="F52" s="49" t="n">
        <v>46055</v>
      </c>
      <c r="G52" s="49" t="n">
        <v>46082</v>
      </c>
      <c r="H52" s="47" t="inlineStr">
        <is>
          <t>HR</t>
        </is>
      </c>
      <c r="I52" s="47" t="inlineStr">
        <is>
          <t>6500</t>
        </is>
      </c>
      <c r="J52" s="47" t="inlineStr">
        <is>
          <t>PO-2026-1050</t>
        </is>
      </c>
      <c r="K52" s="50" t="inlineStr">
        <is>
          <t>Overdue</t>
        </is>
      </c>
      <c r="L52" s="47">
        <f>IF([@Status]&lt;&gt;"Paid",MAX(0,TODAY()-[@[Due Date]]),0)</f>
        <v/>
      </c>
    </row>
    <row r="53" ht="15" customHeight="1">
      <c r="A53" s="51" t="inlineStr">
        <is>
          <t>CleanServ BV</t>
        </is>
      </c>
      <c r="B53" s="52" t="inlineStr">
        <is>
          <t>SUP005</t>
        </is>
      </c>
      <c r="C53" s="51" t="inlineStr">
        <is>
          <t>CleanServ BV</t>
        </is>
      </c>
      <c r="D53" s="53" t="n">
        <v>19064.24</v>
      </c>
      <c r="E53" s="52" t="inlineStr">
        <is>
          <t>EUR</t>
        </is>
      </c>
      <c r="F53" s="54" t="n">
        <v>46075</v>
      </c>
      <c r="G53" s="54" t="n">
        <v>46107</v>
      </c>
      <c r="H53" s="52" t="inlineStr">
        <is>
          <t>HR</t>
        </is>
      </c>
      <c r="I53" s="52" t="inlineStr">
        <is>
          <t>6500</t>
        </is>
      </c>
      <c r="J53" s="52" t="inlineStr">
        <is>
          <t>PO-2026-1051</t>
        </is>
      </c>
      <c r="K53" s="55" t="inlineStr">
        <is>
          <t>Paid</t>
        </is>
      </c>
      <c r="L53" s="52">
        <f>IF([@Status]&lt;&gt;"Paid",MAX(0,TODAY()-[@[Due Date]]),0)</f>
        <v/>
      </c>
    </row>
    <row r="54" ht="15" customHeight="1">
      <c r="A54" s="46" t="inlineStr">
        <is>
          <t>PO-2026-1052</t>
        </is>
      </c>
      <c r="B54" s="47" t="inlineStr">
        <is>
          <t>SUP005</t>
        </is>
      </c>
      <c r="C54" s="46" t="inlineStr">
        <is>
          <t>CleanServ BV</t>
        </is>
      </c>
      <c r="D54" s="48" t="n">
        <v>28443.1</v>
      </c>
      <c r="E54" s="47" t="inlineStr">
        <is>
          <t>EUR</t>
        </is>
      </c>
      <c r="F54" s="49" t="n">
        <v>46101</v>
      </c>
      <c r="G54" s="49" t="n">
        <v>46127</v>
      </c>
      <c r="H54" s="47" t="inlineStr">
        <is>
          <t>HR</t>
        </is>
      </c>
      <c r="I54" s="47" t="inlineStr">
        <is>
          <t>6500</t>
        </is>
      </c>
      <c r="J54" s="47" t="inlineStr">
        <is>
          <t>PO-2026-1052</t>
        </is>
      </c>
      <c r="K54" s="50" t="inlineStr">
        <is>
          <t>Overdue</t>
        </is>
      </c>
      <c r="L54" s="47">
        <f>IF([@Status]&lt;&gt;"Paid",MAX(0,TODAY()-[@[Due Date]]),0)</f>
        <v/>
      </c>
    </row>
    <row r="55" ht="15" customHeight="1">
      <c r="A55" s="51" t="inlineStr">
        <is>
          <t>CleanServ BV</t>
        </is>
      </c>
      <c r="B55" s="52" t="inlineStr">
        <is>
          <t>SUP005</t>
        </is>
      </c>
      <c r="C55" s="51" t="inlineStr">
        <is>
          <t>CleanServ BV</t>
        </is>
      </c>
      <c r="D55" s="53" t="n">
        <v>10385.28</v>
      </c>
      <c r="E55" s="52" t="inlineStr">
        <is>
          <t>EUR</t>
        </is>
      </c>
      <c r="F55" s="54" t="n">
        <v>46111</v>
      </c>
      <c r="G55" s="54" t="n">
        <v>46144</v>
      </c>
      <c r="H55" s="52" t="inlineStr">
        <is>
          <t>HR</t>
        </is>
      </c>
      <c r="I55" s="52" t="inlineStr">
        <is>
          <t>6500</t>
        </is>
      </c>
      <c r="J55" s="52" t="inlineStr">
        <is>
          <t>PO-2026-1053</t>
        </is>
      </c>
      <c r="K55" s="55" t="inlineStr">
        <is>
          <t>Paid</t>
        </is>
      </c>
      <c r="L55" s="52">
        <f>IF([@Status]&lt;&gt;"Paid",MAX(0,TODAY()-[@[Due Date]]),0)</f>
        <v/>
      </c>
    </row>
    <row r="56" ht="15" customHeight="1">
      <c r="A56" s="51" t="inlineStr">
        <is>
          <t>PO-2026-1054</t>
        </is>
      </c>
      <c r="B56" s="52" t="inlineStr">
        <is>
          <t>SUP005</t>
        </is>
      </c>
      <c r="C56" s="51" t="inlineStr">
        <is>
          <t>CleanServ BV</t>
        </is>
      </c>
      <c r="D56" s="53" t="n">
        <v>7193.21</v>
      </c>
      <c r="E56" s="52" t="inlineStr">
        <is>
          <t>EUR</t>
        </is>
      </c>
      <c r="F56" s="54" t="n">
        <v>46090</v>
      </c>
      <c r="G56" s="54" t="n">
        <v>46127</v>
      </c>
      <c r="H56" s="52" t="inlineStr">
        <is>
          <t>HR</t>
        </is>
      </c>
      <c r="I56" s="52" t="inlineStr">
        <is>
          <t>6500</t>
        </is>
      </c>
      <c r="J56" s="52" t="inlineStr">
        <is>
          <t>PO-2026-1054</t>
        </is>
      </c>
      <c r="K56" s="55" t="inlineStr">
        <is>
          <t>Paid</t>
        </is>
      </c>
      <c r="L56" s="52">
        <f>IF([@Status]&lt;&gt;"Paid",MAX(0,TODAY()-[@[Due Date]]),0)</f>
        <v/>
      </c>
    </row>
    <row r="57" ht="15" customHeight="1">
      <c r="A57" s="51" t="inlineStr">
        <is>
          <t>CleanServ BV</t>
        </is>
      </c>
      <c r="B57" s="52" t="inlineStr">
        <is>
          <t>SUP005</t>
        </is>
      </c>
      <c r="C57" s="51" t="inlineStr">
        <is>
          <t>CleanServ BV</t>
        </is>
      </c>
      <c r="D57" s="53" t="n">
        <v>1905.22</v>
      </c>
      <c r="E57" s="52" t="inlineStr">
        <is>
          <t>EUR</t>
        </is>
      </c>
      <c r="F57" s="54" t="n">
        <v>46142</v>
      </c>
      <c r="G57" s="54" t="n">
        <v>46169</v>
      </c>
      <c r="H57" s="52" t="inlineStr">
        <is>
          <t>HR</t>
        </is>
      </c>
      <c r="I57" s="52" t="inlineStr">
        <is>
          <t>6500</t>
        </is>
      </c>
      <c r="J57" s="52" t="inlineStr">
        <is>
          <t>PO-2026-1055</t>
        </is>
      </c>
      <c r="K57" s="55" t="inlineStr">
        <is>
          <t>Paid</t>
        </is>
      </c>
      <c r="L57" s="52">
        <f>IF([@Status]&lt;&gt;"Paid",MAX(0,TODAY()-[@[Due Date]]),0)</f>
        <v/>
      </c>
    </row>
    <row r="58" ht="15" customHeight="1">
      <c r="A58" s="46" t="inlineStr">
        <is>
          <t>PO-2026-1056</t>
        </is>
      </c>
      <c r="B58" s="47" t="inlineStr">
        <is>
          <t>SUP005</t>
        </is>
      </c>
      <c r="C58" s="46" t="inlineStr">
        <is>
          <t>CleanServ BV</t>
        </is>
      </c>
      <c r="D58" s="48" t="n">
        <v>23505.98</v>
      </c>
      <c r="E58" s="47" t="inlineStr">
        <is>
          <t>EUR</t>
        </is>
      </c>
      <c r="F58" s="49" t="n">
        <v>46115</v>
      </c>
      <c r="G58" s="49" t="n">
        <v>46146</v>
      </c>
      <c r="H58" s="47" t="inlineStr">
        <is>
          <t>HR</t>
        </is>
      </c>
      <c r="I58" s="47" t="inlineStr">
        <is>
          <t>6500</t>
        </is>
      </c>
      <c r="J58" s="47" t="inlineStr">
        <is>
          <t>PO-2026-1056</t>
        </is>
      </c>
      <c r="K58" s="50" t="inlineStr">
        <is>
          <t>Overdue</t>
        </is>
      </c>
      <c r="L58" s="47">
        <f>IF([@Status]&lt;&gt;"Paid",MAX(0,TODAY()-[@[Due Date]]),0)</f>
        <v/>
      </c>
    </row>
    <row r="59" ht="15" customHeight="1">
      <c r="A59" s="46" t="inlineStr">
        <is>
          <t>PO-2026-1057</t>
        </is>
      </c>
      <c r="B59" s="47" t="inlineStr">
        <is>
          <t>SUP005</t>
        </is>
      </c>
      <c r="C59" s="46" t="inlineStr">
        <is>
          <t>CleanServ BV</t>
        </is>
      </c>
      <c r="D59" s="48" t="n">
        <v>17574.43</v>
      </c>
      <c r="E59" s="47" t="inlineStr">
        <is>
          <t>EUR</t>
        </is>
      </c>
      <c r="F59" s="49" t="n">
        <v>46171</v>
      </c>
      <c r="G59" s="49" t="n">
        <v>46203</v>
      </c>
      <c r="H59" s="47" t="inlineStr">
        <is>
          <t>HR</t>
        </is>
      </c>
      <c r="I59" s="47" t="inlineStr">
        <is>
          <t>6500</t>
        </is>
      </c>
      <c r="J59" s="47" t="inlineStr">
        <is>
          <t>PO-2026-1057</t>
        </is>
      </c>
      <c r="K59" s="50" t="inlineStr">
        <is>
          <t>Overdue</t>
        </is>
      </c>
      <c r="L59" s="47">
        <f>IF([@Status]&lt;&gt;"Paid",MAX(0,TODAY()-[@[Due Date]]),0)</f>
        <v/>
      </c>
    </row>
    <row r="60" ht="15" customHeight="1">
      <c r="A60" s="51" t="inlineStr">
        <is>
          <t>CleanServ BV</t>
        </is>
      </c>
      <c r="B60" s="52" t="inlineStr">
        <is>
          <t>SUP005</t>
        </is>
      </c>
      <c r="C60" s="51" t="inlineStr">
        <is>
          <t>CleanServ BV</t>
        </is>
      </c>
      <c r="D60" s="53" t="n">
        <v>30552.05</v>
      </c>
      <c r="E60" s="52" t="inlineStr">
        <is>
          <t>EUR</t>
        </is>
      </c>
      <c r="F60" s="54" t="n">
        <v>46199</v>
      </c>
      <c r="G60" s="54" t="n">
        <v>46224</v>
      </c>
      <c r="H60" s="52" t="inlineStr">
        <is>
          <t>HR</t>
        </is>
      </c>
      <c r="I60" s="52" t="inlineStr">
        <is>
          <t>6500</t>
        </is>
      </c>
      <c r="J60" s="52" t="inlineStr">
        <is>
          <t>PO-2026-1058</t>
        </is>
      </c>
      <c r="K60" s="55" t="inlineStr">
        <is>
          <t>Paid</t>
        </is>
      </c>
      <c r="L60" s="52">
        <f>IF([@Status]&lt;&gt;"Paid",MAX(0,TODAY()-[@[Due Date]]),0)</f>
        <v/>
      </c>
    </row>
    <row r="61" ht="15" customHeight="1">
      <c r="A61" s="56" t="inlineStr">
        <is>
          <t>CleanServ BV</t>
        </is>
      </c>
      <c r="B61" s="57" t="inlineStr">
        <is>
          <t>SUP005</t>
        </is>
      </c>
      <c r="C61" s="56" t="inlineStr">
        <is>
          <t>CleanServ BV</t>
        </is>
      </c>
      <c r="D61" s="58" t="n">
        <v>13004.27</v>
      </c>
      <c r="E61" s="57" t="inlineStr">
        <is>
          <t>EUR</t>
        </is>
      </c>
      <c r="F61" s="59" t="n">
        <v>46202</v>
      </c>
      <c r="G61" s="59" t="n">
        <v>46231</v>
      </c>
      <c r="H61" s="57" t="inlineStr">
        <is>
          <t>HR</t>
        </is>
      </c>
      <c r="I61" s="57" t="inlineStr">
        <is>
          <t>6500</t>
        </is>
      </c>
      <c r="J61" s="57" t="inlineStr">
        <is>
          <t>PO-2026-1059</t>
        </is>
      </c>
      <c r="K61" s="60" t="inlineStr">
        <is>
          <t>Open</t>
        </is>
      </c>
      <c r="L61" s="57">
        <f>IF([@Status]&lt;&gt;"Paid",MAX(0,TODAY()-[@[Due Date]]),0)</f>
        <v/>
      </c>
    </row>
    <row r="62" ht="15" customHeight="1">
      <c r="A62" s="51" t="inlineStr">
        <is>
          <t>PO-2026-1060</t>
        </is>
      </c>
      <c r="B62" s="52" t="inlineStr">
        <is>
          <t>SUP005</t>
        </is>
      </c>
      <c r="C62" s="51" t="inlineStr">
        <is>
          <t>CleanServ BV</t>
        </is>
      </c>
      <c r="D62" s="53" t="n">
        <v>13347.15</v>
      </c>
      <c r="E62" s="52" t="inlineStr">
        <is>
          <t>EUR</t>
        </is>
      </c>
      <c r="F62" s="54" t="n">
        <v>46197</v>
      </c>
      <c r="G62" s="54" t="n">
        <v>46226</v>
      </c>
      <c r="H62" s="52" t="inlineStr">
        <is>
          <t>HR</t>
        </is>
      </c>
      <c r="I62" s="52" t="inlineStr">
        <is>
          <t>6500</t>
        </is>
      </c>
      <c r="J62" s="52" t="inlineStr">
        <is>
          <t>PO-2026-1060</t>
        </is>
      </c>
      <c r="K62" s="55" t="inlineStr">
        <is>
          <t>Paid</t>
        </is>
      </c>
      <c r="L62" s="52">
        <f>IF([@Status]&lt;&gt;"Paid",MAX(0,TODAY()-[@[Due Date]]),0)</f>
        <v/>
      </c>
    </row>
    <row r="63" ht="15" customHeight="1">
      <c r="A63" s="56" t="inlineStr">
        <is>
          <t>PO-2026-1061</t>
        </is>
      </c>
      <c r="B63" s="57" t="inlineStr">
        <is>
          <t>SUP005</t>
        </is>
      </c>
      <c r="C63" s="56" t="inlineStr">
        <is>
          <t>CleanServ BV</t>
        </is>
      </c>
      <c r="D63" s="58" t="n">
        <v>23485.29</v>
      </c>
      <c r="E63" s="57" t="inlineStr">
        <is>
          <t>EUR</t>
        </is>
      </c>
      <c r="F63" s="59" t="n">
        <v>46225</v>
      </c>
      <c r="G63" s="59" t="n">
        <v>46258</v>
      </c>
      <c r="H63" s="57" t="inlineStr">
        <is>
          <t>HR</t>
        </is>
      </c>
      <c r="I63" s="57" t="inlineStr">
        <is>
          <t>6500</t>
        </is>
      </c>
      <c r="J63" s="57" t="inlineStr">
        <is>
          <t>PO-2026-1061</t>
        </is>
      </c>
      <c r="K63" s="60" t="inlineStr">
        <is>
          <t>Open</t>
        </is>
      </c>
      <c r="L63" s="57">
        <f>IF([@Status]&lt;&gt;"Paid",MAX(0,TODAY()-[@[Due Date]]),0)</f>
        <v/>
      </c>
    </row>
    <row r="64" ht="15" customHeight="1">
      <c r="A64" s="46" t="inlineStr">
        <is>
          <t>PO-2026-1062</t>
        </is>
      </c>
      <c r="B64" s="47" t="inlineStr">
        <is>
          <t>SUP006</t>
        </is>
      </c>
      <c r="C64" s="46" t="inlineStr">
        <is>
          <t>ITware Group</t>
        </is>
      </c>
      <c r="D64" s="48" t="n">
        <v>37576.64</v>
      </c>
      <c r="E64" s="47" t="inlineStr">
        <is>
          <t>EUR</t>
        </is>
      </c>
      <c r="F64" s="49" t="n">
        <v>46043</v>
      </c>
      <c r="G64" s="49" t="n">
        <v>46081</v>
      </c>
      <c r="H64" s="47" t="inlineStr">
        <is>
          <t>Logistics</t>
        </is>
      </c>
      <c r="I64" s="47" t="inlineStr">
        <is>
          <t>6100</t>
        </is>
      </c>
      <c r="J64" s="47" t="inlineStr">
        <is>
          <t>PO-2026-1062</t>
        </is>
      </c>
      <c r="K64" s="50" t="inlineStr">
        <is>
          <t>Overdue</t>
        </is>
      </c>
      <c r="L64" s="47">
        <f>IF([@Status]&lt;&gt;"Paid",MAX(0,TODAY()-[@[Due Date]]),0)</f>
        <v/>
      </c>
    </row>
    <row r="65" ht="15" customHeight="1">
      <c r="A65" s="46" t="inlineStr">
        <is>
          <t>PO-2026-1063</t>
        </is>
      </c>
      <c r="B65" s="47" t="inlineStr">
        <is>
          <t>SUP006</t>
        </is>
      </c>
      <c r="C65" s="46" t="inlineStr">
        <is>
          <t>ITware Group</t>
        </is>
      </c>
      <c r="D65" s="48" t="n">
        <v>8528.82</v>
      </c>
      <c r="E65" s="47" t="inlineStr">
        <is>
          <t>EUR</t>
        </is>
      </c>
      <c r="F65" s="49" t="n">
        <v>46074</v>
      </c>
      <c r="G65" s="49" t="n">
        <v>46107</v>
      </c>
      <c r="H65" s="47" t="inlineStr">
        <is>
          <t>Logistics</t>
        </is>
      </c>
      <c r="I65" s="47" t="inlineStr">
        <is>
          <t>6100</t>
        </is>
      </c>
      <c r="J65" s="47" t="inlineStr">
        <is>
          <t>PO-2026-1063</t>
        </is>
      </c>
      <c r="K65" s="50" t="inlineStr">
        <is>
          <t>Overdue</t>
        </is>
      </c>
      <c r="L65" s="47">
        <f>IF([@Status]&lt;&gt;"Paid",MAX(0,TODAY()-[@[Due Date]]),0)</f>
        <v/>
      </c>
    </row>
    <row r="66" ht="15" customHeight="1">
      <c r="A66" s="51" t="inlineStr">
        <is>
          <t>ITware Group</t>
        </is>
      </c>
      <c r="B66" s="52" t="inlineStr">
        <is>
          <t>SUP006</t>
        </is>
      </c>
      <c r="C66" s="51" t="inlineStr">
        <is>
          <t>ITware Group</t>
        </is>
      </c>
      <c r="D66" s="53" t="n">
        <v>4773.11</v>
      </c>
      <c r="E66" s="52" t="inlineStr">
        <is>
          <t>EUR</t>
        </is>
      </c>
      <c r="F66" s="54" t="n">
        <v>46082</v>
      </c>
      <c r="G66" s="54" t="n">
        <v>46110</v>
      </c>
      <c r="H66" s="52" t="inlineStr">
        <is>
          <t>Logistics</t>
        </is>
      </c>
      <c r="I66" s="52" t="inlineStr">
        <is>
          <t>6100</t>
        </is>
      </c>
      <c r="J66" s="52" t="inlineStr">
        <is>
          <t>PO-2026-1064</t>
        </is>
      </c>
      <c r="K66" s="55" t="inlineStr">
        <is>
          <t>Paid</t>
        </is>
      </c>
      <c r="L66" s="52">
        <f>IF([@Status]&lt;&gt;"Paid",MAX(0,TODAY()-[@[Due Date]]),0)</f>
        <v/>
      </c>
    </row>
    <row r="67" ht="15" customHeight="1">
      <c r="A67" s="51" t="inlineStr">
        <is>
          <t>ITware Group</t>
        </is>
      </c>
      <c r="B67" s="52" t="inlineStr">
        <is>
          <t>SUP006</t>
        </is>
      </c>
      <c r="C67" s="51" t="inlineStr">
        <is>
          <t>ITware Group</t>
        </is>
      </c>
      <c r="D67" s="53" t="n">
        <v>37804.88</v>
      </c>
      <c r="E67" s="52" t="inlineStr">
        <is>
          <t>EUR</t>
        </is>
      </c>
      <c r="F67" s="54" t="n">
        <v>46099</v>
      </c>
      <c r="G67" s="54" t="n">
        <v>46125</v>
      </c>
      <c r="H67" s="52" t="inlineStr">
        <is>
          <t>Logistics</t>
        </is>
      </c>
      <c r="I67" s="52" t="inlineStr">
        <is>
          <t>6100</t>
        </is>
      </c>
      <c r="J67" s="52" t="inlineStr">
        <is>
          <t>PO-2026-1065</t>
        </is>
      </c>
      <c r="K67" s="55" t="inlineStr">
        <is>
          <t>Paid</t>
        </is>
      </c>
      <c r="L67" s="52">
        <f>IF([@Status]&lt;&gt;"Paid",MAX(0,TODAY()-[@[Due Date]]),0)</f>
        <v/>
      </c>
    </row>
    <row r="68" ht="15" customHeight="1">
      <c r="A68" s="46" t="inlineStr">
        <is>
          <t>ITware Group</t>
        </is>
      </c>
      <c r="B68" s="47" t="inlineStr">
        <is>
          <t>SUP006</t>
        </is>
      </c>
      <c r="C68" s="46" t="inlineStr">
        <is>
          <t>ITware Group</t>
        </is>
      </c>
      <c r="D68" s="48" t="n">
        <v>3319.56</v>
      </c>
      <c r="E68" s="47" t="inlineStr">
        <is>
          <t>EUR</t>
        </is>
      </c>
      <c r="F68" s="49" t="n">
        <v>46095</v>
      </c>
      <c r="G68" s="49" t="n">
        <v>46124</v>
      </c>
      <c r="H68" s="47" t="inlineStr">
        <is>
          <t>Logistics</t>
        </is>
      </c>
      <c r="I68" s="47" t="inlineStr">
        <is>
          <t>6100</t>
        </is>
      </c>
      <c r="J68" s="47" t="inlineStr">
        <is>
          <t>PO-2026-1066</t>
        </is>
      </c>
      <c r="K68" s="50" t="inlineStr">
        <is>
          <t>Overdue</t>
        </is>
      </c>
      <c r="L68" s="47">
        <f>IF([@Status]&lt;&gt;"Paid",MAX(0,TODAY()-[@[Due Date]]),0)</f>
        <v/>
      </c>
    </row>
    <row r="69" ht="15" customHeight="1">
      <c r="A69" s="46" t="inlineStr">
        <is>
          <t>PO-2026-1067</t>
        </is>
      </c>
      <c r="B69" s="47" t="inlineStr">
        <is>
          <t>SUP006</t>
        </is>
      </c>
      <c r="C69" s="46" t="inlineStr">
        <is>
          <t>ITware Group</t>
        </is>
      </c>
      <c r="D69" s="48" t="n">
        <v>30511.6</v>
      </c>
      <c r="E69" s="47" t="inlineStr">
        <is>
          <t>EUR</t>
        </is>
      </c>
      <c r="F69" s="49" t="n">
        <v>46119</v>
      </c>
      <c r="G69" s="49" t="n">
        <v>46151</v>
      </c>
      <c r="H69" s="47" t="inlineStr">
        <is>
          <t>Logistics</t>
        </is>
      </c>
      <c r="I69" s="47" t="inlineStr">
        <is>
          <t>6100</t>
        </is>
      </c>
      <c r="J69" s="47" t="inlineStr">
        <is>
          <t>PO-2026-1067</t>
        </is>
      </c>
      <c r="K69" s="50" t="inlineStr">
        <is>
          <t>Overdue</t>
        </is>
      </c>
      <c r="L69" s="47">
        <f>IF([@Status]&lt;&gt;"Paid",MAX(0,TODAY()-[@[Due Date]]),0)</f>
        <v/>
      </c>
    </row>
    <row r="70" ht="15" customHeight="1">
      <c r="A70" s="46" t="inlineStr">
        <is>
          <t>ITware Group</t>
        </is>
      </c>
      <c r="B70" s="47" t="inlineStr">
        <is>
          <t>SUP006</t>
        </is>
      </c>
      <c r="C70" s="46" t="inlineStr">
        <is>
          <t>ITware Group</t>
        </is>
      </c>
      <c r="D70" s="48" t="n">
        <v>41770.73</v>
      </c>
      <c r="E70" s="47" t="inlineStr">
        <is>
          <t>EUR</t>
        </is>
      </c>
      <c r="F70" s="49" t="n">
        <v>46132</v>
      </c>
      <c r="G70" s="49" t="n">
        <v>46161</v>
      </c>
      <c r="H70" s="47" t="inlineStr">
        <is>
          <t>Logistics</t>
        </is>
      </c>
      <c r="I70" s="47" t="inlineStr">
        <is>
          <t>6100</t>
        </is>
      </c>
      <c r="J70" s="47" t="inlineStr">
        <is>
          <t>PO-2026-1068</t>
        </is>
      </c>
      <c r="K70" s="50" t="inlineStr">
        <is>
          <t>Overdue</t>
        </is>
      </c>
      <c r="L70" s="47">
        <f>IF([@Status]&lt;&gt;"Paid",MAX(0,TODAY()-[@[Due Date]]),0)</f>
        <v/>
      </c>
    </row>
    <row r="71" ht="15" customHeight="1">
      <c r="A71" s="51" t="inlineStr">
        <is>
          <t>PO-2026-1069</t>
        </is>
      </c>
      <c r="B71" s="52" t="inlineStr">
        <is>
          <t>SUP006</t>
        </is>
      </c>
      <c r="C71" s="51" t="inlineStr">
        <is>
          <t>ITware Group</t>
        </is>
      </c>
      <c r="D71" s="53" t="n">
        <v>2578.21</v>
      </c>
      <c r="E71" s="52" t="inlineStr">
        <is>
          <t>EUR</t>
        </is>
      </c>
      <c r="F71" s="54" t="n">
        <v>46171</v>
      </c>
      <c r="G71" s="54" t="n">
        <v>46209</v>
      </c>
      <c r="H71" s="52" t="inlineStr">
        <is>
          <t>Logistics</t>
        </is>
      </c>
      <c r="I71" s="52" t="inlineStr">
        <is>
          <t>6100</t>
        </is>
      </c>
      <c r="J71" s="52" t="inlineStr">
        <is>
          <t>PO-2026-1069</t>
        </is>
      </c>
      <c r="K71" s="55" t="inlineStr">
        <is>
          <t>Paid</t>
        </is>
      </c>
      <c r="L71" s="52">
        <f>IF([@Status]&lt;&gt;"Paid",MAX(0,TODAY()-[@[Due Date]]),0)</f>
        <v/>
      </c>
    </row>
    <row r="72" ht="15" customHeight="1">
      <c r="A72" s="56" t="inlineStr">
        <is>
          <t>ITware Group</t>
        </is>
      </c>
      <c r="B72" s="57" t="inlineStr">
        <is>
          <t>SUP006</t>
        </is>
      </c>
      <c r="C72" s="56" t="inlineStr">
        <is>
          <t>ITware Group</t>
        </is>
      </c>
      <c r="D72" s="58" t="n">
        <v>13106.05</v>
      </c>
      <c r="E72" s="57" t="inlineStr">
        <is>
          <t>EUR</t>
        </is>
      </c>
      <c r="F72" s="59" t="n">
        <v>46199</v>
      </c>
      <c r="G72" s="59" t="n">
        <v>46231</v>
      </c>
      <c r="H72" s="57" t="inlineStr">
        <is>
          <t>Logistics</t>
        </is>
      </c>
      <c r="I72" s="57" t="inlineStr">
        <is>
          <t>6100</t>
        </is>
      </c>
      <c r="J72" s="57" t="inlineStr">
        <is>
          <t>PO-2026-1070</t>
        </is>
      </c>
      <c r="K72" s="60" t="inlineStr">
        <is>
          <t>Open</t>
        </is>
      </c>
      <c r="L72" s="57">
        <f>IF([@Status]&lt;&gt;"Paid",MAX(0,TODAY()-[@[Due Date]]),0)</f>
        <v/>
      </c>
    </row>
    <row r="73" ht="15" customHeight="1">
      <c r="A73" s="46" t="inlineStr">
        <is>
          <t>PO-2026-1071</t>
        </is>
      </c>
      <c r="B73" s="47" t="inlineStr">
        <is>
          <t>SUP006</t>
        </is>
      </c>
      <c r="C73" s="46" t="inlineStr">
        <is>
          <t>ITware Group</t>
        </is>
      </c>
      <c r="D73" s="48" t="n">
        <v>38848.81</v>
      </c>
      <c r="E73" s="47" t="inlineStr">
        <is>
          <t>EUR</t>
        </is>
      </c>
      <c r="F73" s="49" t="n">
        <v>46186</v>
      </c>
      <c r="G73" s="49" t="n">
        <v>46212</v>
      </c>
      <c r="H73" s="47" t="inlineStr">
        <is>
          <t>Logistics</t>
        </is>
      </c>
      <c r="I73" s="47" t="inlineStr">
        <is>
          <t>6100</t>
        </is>
      </c>
      <c r="J73" s="47" t="inlineStr">
        <is>
          <t>PO-2026-1071</t>
        </is>
      </c>
      <c r="K73" s="50" t="inlineStr">
        <is>
          <t>Overdue</t>
        </is>
      </c>
      <c r="L73" s="47">
        <f>IF([@Status]&lt;&gt;"Paid",MAX(0,TODAY()-[@[Due Date]]),0)</f>
        <v/>
      </c>
    </row>
    <row r="74" ht="15" customHeight="1">
      <c r="A74" s="56" t="inlineStr">
        <is>
          <t>ITware Group</t>
        </is>
      </c>
      <c r="B74" s="57" t="inlineStr">
        <is>
          <t>SUP006</t>
        </is>
      </c>
      <c r="C74" s="56" t="inlineStr">
        <is>
          <t>ITware Group</t>
        </is>
      </c>
      <c r="D74" s="58" t="n">
        <v>11197.17</v>
      </c>
      <c r="E74" s="57" t="inlineStr">
        <is>
          <t>EUR</t>
        </is>
      </c>
      <c r="F74" s="59" t="n">
        <v>46213</v>
      </c>
      <c r="G74" s="59" t="n">
        <v>46245</v>
      </c>
      <c r="H74" s="57" t="inlineStr">
        <is>
          <t>Logistics</t>
        </is>
      </c>
      <c r="I74" s="57" t="inlineStr">
        <is>
          <t>6100</t>
        </is>
      </c>
      <c r="J74" s="57" t="inlineStr">
        <is>
          <t>PO-2026-1072</t>
        </is>
      </c>
      <c r="K74" s="60" t="inlineStr">
        <is>
          <t>Open</t>
        </is>
      </c>
      <c r="L74" s="57">
        <f>IF([@Status]&lt;&gt;"Paid",MAX(0,TODAY()-[@[Due Date]]),0)</f>
        <v/>
      </c>
    </row>
    <row r="75" ht="15" customHeight="1">
      <c r="A75" s="56" t="inlineStr">
        <is>
          <t>ITware Group</t>
        </is>
      </c>
      <c r="B75" s="57" t="inlineStr">
        <is>
          <t>SUP006</t>
        </is>
      </c>
      <c r="C75" s="56" t="inlineStr">
        <is>
          <t>ITware Group</t>
        </is>
      </c>
      <c r="D75" s="58" t="n">
        <v>13619.23</v>
      </c>
      <c r="E75" s="57" t="inlineStr">
        <is>
          <t>EUR</t>
        </is>
      </c>
      <c r="F75" s="59" t="n">
        <v>46216</v>
      </c>
      <c r="G75" s="59" t="n">
        <v>46251</v>
      </c>
      <c r="H75" s="57" t="inlineStr">
        <is>
          <t>Logistics</t>
        </is>
      </c>
      <c r="I75" s="57" t="inlineStr">
        <is>
          <t>6100</t>
        </is>
      </c>
      <c r="J75" s="57" t="inlineStr">
        <is>
          <t>PO-2026-1073</t>
        </is>
      </c>
      <c r="K75" s="60" t="inlineStr">
        <is>
          <t>Open</t>
        </is>
      </c>
      <c r="L75" s="57">
        <f>IF([@Status]&lt;&gt;"Paid",MAX(0,TODAY()-[@[Due Date]]),0)</f>
        <v/>
      </c>
    </row>
    <row r="76" ht="15" customHeight="1">
      <c r="A76" s="51" t="inlineStr">
        <is>
          <t>PO-2026-1074</t>
        </is>
      </c>
      <c r="B76" s="52" t="inlineStr">
        <is>
          <t>SUP007</t>
        </is>
      </c>
      <c r="C76" s="51" t="inlineStr">
        <is>
          <t>Alpha Consulting</t>
        </is>
      </c>
      <c r="D76" s="53" t="n">
        <v>31059.04</v>
      </c>
      <c r="E76" s="52" t="inlineStr">
        <is>
          <t>EUR</t>
        </is>
      </c>
      <c r="F76" s="54" t="n">
        <v>46043</v>
      </c>
      <c r="G76" s="54" t="n">
        <v>46095</v>
      </c>
      <c r="H76" s="52" t="inlineStr">
        <is>
          <t>HR</t>
        </is>
      </c>
      <c r="I76" s="52" t="inlineStr">
        <is>
          <t>6500</t>
        </is>
      </c>
      <c r="J76" s="52" t="inlineStr">
        <is>
          <t>PO-2026-1074</t>
        </is>
      </c>
      <c r="K76" s="55" t="inlineStr">
        <is>
          <t>Paid</t>
        </is>
      </c>
      <c r="L76" s="52">
        <f>IF([@Status]&lt;&gt;"Paid",MAX(0,TODAY()-[@[Due Date]]),0)</f>
        <v/>
      </c>
    </row>
    <row r="77" ht="15" customHeight="1">
      <c r="A77" s="51" t="inlineStr">
        <is>
          <t>Alpha Consulting</t>
        </is>
      </c>
      <c r="B77" s="52" t="inlineStr">
        <is>
          <t>SUP007</t>
        </is>
      </c>
      <c r="C77" s="51" t="inlineStr">
        <is>
          <t>Alpha Consulting</t>
        </is>
      </c>
      <c r="D77" s="53" t="n">
        <v>6517.37</v>
      </c>
      <c r="E77" s="52" t="inlineStr">
        <is>
          <t>EUR</t>
        </is>
      </c>
      <c r="F77" s="54" t="n">
        <v>46053</v>
      </c>
      <c r="G77" s="54" t="n">
        <v>46093</v>
      </c>
      <c r="H77" s="52" t="inlineStr">
        <is>
          <t>HR</t>
        </is>
      </c>
      <c r="I77" s="52" t="inlineStr">
        <is>
          <t>6500</t>
        </is>
      </c>
      <c r="J77" s="52" t="inlineStr">
        <is>
          <t>PO-2026-1075</t>
        </is>
      </c>
      <c r="K77" s="55" t="inlineStr">
        <is>
          <t>Paid</t>
        </is>
      </c>
      <c r="L77" s="52">
        <f>IF([@Status]&lt;&gt;"Paid",MAX(0,TODAY()-[@[Due Date]]),0)</f>
        <v/>
      </c>
    </row>
    <row r="78" ht="15" customHeight="1">
      <c r="A78" s="46" t="inlineStr">
        <is>
          <t>PO-2026-1076</t>
        </is>
      </c>
      <c r="B78" s="47" t="inlineStr">
        <is>
          <t>SUP007</t>
        </is>
      </c>
      <c r="C78" s="46" t="inlineStr">
        <is>
          <t>Alpha Consulting</t>
        </is>
      </c>
      <c r="D78" s="48" t="n">
        <v>6215.51</v>
      </c>
      <c r="E78" s="47" t="inlineStr">
        <is>
          <t>EUR</t>
        </is>
      </c>
      <c r="F78" s="49" t="n">
        <v>46062</v>
      </c>
      <c r="G78" s="49" t="n">
        <v>46103</v>
      </c>
      <c r="H78" s="47" t="inlineStr">
        <is>
          <t>HR</t>
        </is>
      </c>
      <c r="I78" s="47" t="inlineStr">
        <is>
          <t>6500</t>
        </is>
      </c>
      <c r="J78" s="47" t="inlineStr">
        <is>
          <t>PO-2026-1076</t>
        </is>
      </c>
      <c r="K78" s="50" t="inlineStr">
        <is>
          <t>Overdue</t>
        </is>
      </c>
      <c r="L78" s="47">
        <f>IF([@Status]&lt;&gt;"Paid",MAX(0,TODAY()-[@[Due Date]]),0)</f>
        <v/>
      </c>
    </row>
    <row r="79" ht="15" customHeight="1">
      <c r="A79" s="51" t="inlineStr">
        <is>
          <t>PO-2026-1077</t>
        </is>
      </c>
      <c r="B79" s="52" t="inlineStr">
        <is>
          <t>SUP007</t>
        </is>
      </c>
      <c r="C79" s="51" t="inlineStr">
        <is>
          <t>Alpha Consulting</t>
        </is>
      </c>
      <c r="D79" s="53" t="n">
        <v>18256</v>
      </c>
      <c r="E79" s="52" t="inlineStr">
        <is>
          <t>EUR</t>
        </is>
      </c>
      <c r="F79" s="54" t="n">
        <v>46067</v>
      </c>
      <c r="G79" s="54" t="n">
        <v>46110</v>
      </c>
      <c r="H79" s="52" t="inlineStr">
        <is>
          <t>HR</t>
        </is>
      </c>
      <c r="I79" s="52" t="inlineStr">
        <is>
          <t>6500</t>
        </is>
      </c>
      <c r="J79" s="52" t="inlineStr">
        <is>
          <t>PO-2026-1077</t>
        </is>
      </c>
      <c r="K79" s="55" t="inlineStr">
        <is>
          <t>Paid</t>
        </is>
      </c>
      <c r="L79" s="52">
        <f>IF([@Status]&lt;&gt;"Paid",MAX(0,TODAY()-[@[Due Date]]),0)</f>
        <v/>
      </c>
    </row>
    <row r="80" ht="15" customHeight="1">
      <c r="A80" s="51" t="inlineStr">
        <is>
          <t>Alpha Consulting</t>
        </is>
      </c>
      <c r="B80" s="52" t="inlineStr">
        <is>
          <t>SUP007</t>
        </is>
      </c>
      <c r="C80" s="51" t="inlineStr">
        <is>
          <t>Alpha Consulting</t>
        </is>
      </c>
      <c r="D80" s="53" t="n">
        <v>1573.57</v>
      </c>
      <c r="E80" s="52" t="inlineStr">
        <is>
          <t>EUR</t>
        </is>
      </c>
      <c r="F80" s="54" t="n">
        <v>46055</v>
      </c>
      <c r="G80" s="54" t="n">
        <v>46108</v>
      </c>
      <c r="H80" s="52" t="inlineStr">
        <is>
          <t>HR</t>
        </is>
      </c>
      <c r="I80" s="52" t="inlineStr">
        <is>
          <t>6500</t>
        </is>
      </c>
      <c r="J80" s="52" t="inlineStr">
        <is>
          <t>PO-2026-1078</t>
        </is>
      </c>
      <c r="K80" s="55" t="inlineStr">
        <is>
          <t>Paid</t>
        </is>
      </c>
      <c r="L80" s="52">
        <f>IF([@Status]&lt;&gt;"Paid",MAX(0,TODAY()-[@[Due Date]]),0)</f>
        <v/>
      </c>
    </row>
    <row r="81" ht="15" customHeight="1">
      <c r="A81" s="51" t="inlineStr">
        <is>
          <t>PO-2026-1079</t>
        </is>
      </c>
      <c r="B81" s="52" t="inlineStr">
        <is>
          <t>SUP007</t>
        </is>
      </c>
      <c r="C81" s="51" t="inlineStr">
        <is>
          <t>Alpha Consulting</t>
        </is>
      </c>
      <c r="D81" s="53" t="n">
        <v>42776.04</v>
      </c>
      <c r="E81" s="52" t="inlineStr">
        <is>
          <t>EUR</t>
        </is>
      </c>
      <c r="F81" s="54" t="n">
        <v>46095</v>
      </c>
      <c r="G81" s="54" t="n">
        <v>46137</v>
      </c>
      <c r="H81" s="52" t="inlineStr">
        <is>
          <t>HR</t>
        </is>
      </c>
      <c r="I81" s="52" t="inlineStr">
        <is>
          <t>6500</t>
        </is>
      </c>
      <c r="J81" s="52" t="inlineStr">
        <is>
          <t>PO-2026-1079</t>
        </is>
      </c>
      <c r="K81" s="55" t="inlineStr">
        <is>
          <t>Paid</t>
        </is>
      </c>
      <c r="L81" s="52">
        <f>IF([@Status]&lt;&gt;"Paid",MAX(0,TODAY()-[@[Due Date]]),0)</f>
        <v/>
      </c>
    </row>
    <row r="82" ht="15" customHeight="1">
      <c r="A82" s="46" t="inlineStr">
        <is>
          <t>PO-2026-1080</t>
        </is>
      </c>
      <c r="B82" s="47" t="inlineStr">
        <is>
          <t>SUP007</t>
        </is>
      </c>
      <c r="C82" s="46" t="inlineStr">
        <is>
          <t>Alpha Consulting</t>
        </is>
      </c>
      <c r="D82" s="48" t="n">
        <v>32809.31</v>
      </c>
      <c r="E82" s="47" t="inlineStr">
        <is>
          <t>EUR</t>
        </is>
      </c>
      <c r="F82" s="49" t="n">
        <v>46103</v>
      </c>
      <c r="G82" s="49" t="n">
        <v>46146</v>
      </c>
      <c r="H82" s="47" t="inlineStr">
        <is>
          <t>HR</t>
        </is>
      </c>
      <c r="I82" s="47" t="inlineStr">
        <is>
          <t>6500</t>
        </is>
      </c>
      <c r="J82" s="47" t="inlineStr">
        <is>
          <t>PO-2026-1080</t>
        </is>
      </c>
      <c r="K82" s="50" t="inlineStr">
        <is>
          <t>Overdue</t>
        </is>
      </c>
      <c r="L82" s="47">
        <f>IF([@Status]&lt;&gt;"Paid",MAX(0,TODAY()-[@[Due Date]]),0)</f>
        <v/>
      </c>
    </row>
    <row r="83" ht="15" customHeight="1">
      <c r="A83" s="46" t="inlineStr">
        <is>
          <t>Alpha Consulting</t>
        </is>
      </c>
      <c r="B83" s="47" t="inlineStr">
        <is>
          <t>SUP007</t>
        </is>
      </c>
      <c r="C83" s="46" t="inlineStr">
        <is>
          <t>Alpha Consulting</t>
        </is>
      </c>
      <c r="D83" s="48" t="n">
        <v>19004.42</v>
      </c>
      <c r="E83" s="47" t="inlineStr">
        <is>
          <t>EUR</t>
        </is>
      </c>
      <c r="F83" s="49" t="n">
        <v>46126</v>
      </c>
      <c r="G83" s="49" t="n">
        <v>46176</v>
      </c>
      <c r="H83" s="47" t="inlineStr">
        <is>
          <t>HR</t>
        </is>
      </c>
      <c r="I83" s="47" t="inlineStr">
        <is>
          <t>6500</t>
        </is>
      </c>
      <c r="J83" s="47" t="inlineStr">
        <is>
          <t>PO-2026-1081</t>
        </is>
      </c>
      <c r="K83" s="50" t="inlineStr">
        <is>
          <t>Overdue</t>
        </is>
      </c>
      <c r="L83" s="47">
        <f>IF([@Status]&lt;&gt;"Paid",MAX(0,TODAY()-[@[Due Date]]),0)</f>
        <v/>
      </c>
    </row>
    <row r="84" ht="15" customHeight="1">
      <c r="A84" s="46" t="inlineStr">
        <is>
          <t>Alpha Consulting</t>
        </is>
      </c>
      <c r="B84" s="47" t="inlineStr">
        <is>
          <t>SUP007</t>
        </is>
      </c>
      <c r="C84" s="46" t="inlineStr">
        <is>
          <t>Alpha Consulting</t>
        </is>
      </c>
      <c r="D84" s="48" t="n">
        <v>30424.43</v>
      </c>
      <c r="E84" s="47" t="inlineStr">
        <is>
          <t>EUR</t>
        </is>
      </c>
      <c r="F84" s="49" t="n">
        <v>46119</v>
      </c>
      <c r="G84" s="49" t="n">
        <v>46172</v>
      </c>
      <c r="H84" s="47" t="inlineStr">
        <is>
          <t>HR</t>
        </is>
      </c>
      <c r="I84" s="47" t="inlineStr">
        <is>
          <t>6500</t>
        </is>
      </c>
      <c r="J84" s="47" t="inlineStr">
        <is>
          <t>PO-2026-1082</t>
        </is>
      </c>
      <c r="K84" s="50" t="inlineStr">
        <is>
          <t>Overdue</t>
        </is>
      </c>
      <c r="L84" s="47">
        <f>IF([@Status]&lt;&gt;"Paid",MAX(0,TODAY()-[@[Due Date]]),0)</f>
        <v/>
      </c>
    </row>
    <row r="85" ht="15" customHeight="1">
      <c r="A85" s="51" t="inlineStr">
        <is>
          <t>PO-2026-1083</t>
        </is>
      </c>
      <c r="B85" s="52" t="inlineStr">
        <is>
          <t>SUP007</t>
        </is>
      </c>
      <c r="C85" s="51" t="inlineStr">
        <is>
          <t>Alpha Consulting</t>
        </is>
      </c>
      <c r="D85" s="53" t="n">
        <v>19164.27</v>
      </c>
      <c r="E85" s="52" t="inlineStr">
        <is>
          <t>EUR</t>
        </is>
      </c>
      <c r="F85" s="54" t="n">
        <v>46132</v>
      </c>
      <c r="G85" s="54" t="n">
        <v>46181</v>
      </c>
      <c r="H85" s="52" t="inlineStr">
        <is>
          <t>HR</t>
        </is>
      </c>
      <c r="I85" s="52" t="inlineStr">
        <is>
          <t>6500</t>
        </is>
      </c>
      <c r="J85" s="52" t="inlineStr">
        <is>
          <t>PO-2026-1083</t>
        </is>
      </c>
      <c r="K85" s="55" t="inlineStr">
        <is>
          <t>Paid</t>
        </is>
      </c>
      <c r="L85" s="52">
        <f>IF([@Status]&lt;&gt;"Paid",MAX(0,TODAY()-[@[Due Date]]),0)</f>
        <v/>
      </c>
    </row>
    <row r="86" ht="15" customHeight="1">
      <c r="A86" s="51" t="inlineStr">
        <is>
          <t>PO-2026-1084</t>
        </is>
      </c>
      <c r="B86" s="52" t="inlineStr">
        <is>
          <t>SUP007</t>
        </is>
      </c>
      <c r="C86" s="51" t="inlineStr">
        <is>
          <t>Alpha Consulting</t>
        </is>
      </c>
      <c r="D86" s="53" t="n">
        <v>35680.51</v>
      </c>
      <c r="E86" s="52" t="inlineStr">
        <is>
          <t>EUR</t>
        </is>
      </c>
      <c r="F86" s="54" t="n">
        <v>46149</v>
      </c>
      <c r="G86" s="54" t="n">
        <v>46202</v>
      </c>
      <c r="H86" s="52" t="inlineStr">
        <is>
          <t>HR</t>
        </is>
      </c>
      <c r="I86" s="52" t="inlineStr">
        <is>
          <t>6500</t>
        </is>
      </c>
      <c r="J86" s="52" t="inlineStr">
        <is>
          <t>PO-2026-1084</t>
        </is>
      </c>
      <c r="K86" s="55" t="inlineStr">
        <is>
          <t>Paid</t>
        </is>
      </c>
      <c r="L86" s="52">
        <f>IF([@Status]&lt;&gt;"Paid",MAX(0,TODAY()-[@[Due Date]]),0)</f>
        <v/>
      </c>
    </row>
    <row r="87" ht="15" customHeight="1">
      <c r="A87" s="46" t="inlineStr">
        <is>
          <t>PO-2026-1085</t>
        </is>
      </c>
      <c r="B87" s="47" t="inlineStr">
        <is>
          <t>SUP007</t>
        </is>
      </c>
      <c r="C87" s="46" t="inlineStr">
        <is>
          <t>Alpha Consulting</t>
        </is>
      </c>
      <c r="D87" s="48" t="n">
        <v>20733.95</v>
      </c>
      <c r="E87" s="47" t="inlineStr">
        <is>
          <t>EUR</t>
        </is>
      </c>
      <c r="F87" s="49" t="n">
        <v>46157</v>
      </c>
      <c r="G87" s="49" t="n">
        <v>46211</v>
      </c>
      <c r="H87" s="47" t="inlineStr">
        <is>
          <t>HR</t>
        </is>
      </c>
      <c r="I87" s="47" t="inlineStr">
        <is>
          <t>6500</t>
        </is>
      </c>
      <c r="J87" s="47" t="inlineStr">
        <is>
          <t>PO-2026-1085</t>
        </is>
      </c>
      <c r="K87" s="50" t="inlineStr">
        <is>
          <t>Overdue</t>
        </is>
      </c>
      <c r="L87" s="47">
        <f>IF([@Status]&lt;&gt;"Paid",MAX(0,TODAY()-[@[Due Date]]),0)</f>
        <v/>
      </c>
    </row>
    <row r="88" ht="15" customHeight="1">
      <c r="A88" s="51" t="inlineStr">
        <is>
          <t>PO-2026-1086</t>
        </is>
      </c>
      <c r="B88" s="52" t="inlineStr">
        <is>
          <t>SUP007</t>
        </is>
      </c>
      <c r="C88" s="51" t="inlineStr">
        <is>
          <t>Alpha Consulting</t>
        </is>
      </c>
      <c r="D88" s="53" t="n">
        <v>13844.71</v>
      </c>
      <c r="E88" s="52" t="inlineStr">
        <is>
          <t>EUR</t>
        </is>
      </c>
      <c r="F88" s="54" t="n">
        <v>46179</v>
      </c>
      <c r="G88" s="54" t="n">
        <v>46221</v>
      </c>
      <c r="H88" s="52" t="inlineStr">
        <is>
          <t>HR</t>
        </is>
      </c>
      <c r="I88" s="52" t="inlineStr">
        <is>
          <t>6500</t>
        </is>
      </c>
      <c r="J88" s="52" t="inlineStr">
        <is>
          <t>PO-2026-1086</t>
        </is>
      </c>
      <c r="K88" s="55" t="inlineStr">
        <is>
          <t>Paid</t>
        </is>
      </c>
      <c r="L88" s="52">
        <f>IF([@Status]&lt;&gt;"Paid",MAX(0,TODAY()-[@[Due Date]]),0)</f>
        <v/>
      </c>
    </row>
    <row r="89" ht="15" customHeight="1">
      <c r="A89" s="46" t="inlineStr">
        <is>
          <t>Alpha Consulting</t>
        </is>
      </c>
      <c r="B89" s="47" t="inlineStr">
        <is>
          <t>SUP007</t>
        </is>
      </c>
      <c r="C89" s="46" t="inlineStr">
        <is>
          <t>Alpha Consulting</t>
        </is>
      </c>
      <c r="D89" s="48" t="n">
        <v>30766.61</v>
      </c>
      <c r="E89" s="47" t="inlineStr">
        <is>
          <t>EUR</t>
        </is>
      </c>
      <c r="F89" s="49" t="n">
        <v>46176</v>
      </c>
      <c r="G89" s="49" t="n">
        <v>46223</v>
      </c>
      <c r="H89" s="47" t="inlineStr">
        <is>
          <t>HR</t>
        </is>
      </c>
      <c r="I89" s="47" t="inlineStr">
        <is>
          <t>6500</t>
        </is>
      </c>
      <c r="J89" s="47" t="inlineStr">
        <is>
          <t>PO-2026-1087</t>
        </is>
      </c>
      <c r="K89" s="50" t="inlineStr">
        <is>
          <t>Overdue</t>
        </is>
      </c>
      <c r="L89" s="47">
        <f>IF([@Status]&lt;&gt;"Paid",MAX(0,TODAY()-[@[Due Date]]),0)</f>
        <v/>
      </c>
    </row>
    <row r="90" ht="15" customHeight="1">
      <c r="A90" s="51" t="inlineStr">
        <is>
          <t>Alpha Consulting</t>
        </is>
      </c>
      <c r="B90" s="52" t="inlineStr">
        <is>
          <t>SUP007</t>
        </is>
      </c>
      <c r="C90" s="51" t="inlineStr">
        <is>
          <t>Alpha Consulting</t>
        </is>
      </c>
      <c r="D90" s="53" t="n">
        <v>3510.3</v>
      </c>
      <c r="E90" s="52" t="inlineStr">
        <is>
          <t>EUR</t>
        </is>
      </c>
      <c r="F90" s="54" t="n">
        <v>46178</v>
      </c>
      <c r="G90" s="54" t="n">
        <v>46218</v>
      </c>
      <c r="H90" s="52" t="inlineStr">
        <is>
          <t>HR</t>
        </is>
      </c>
      <c r="I90" s="52" t="inlineStr">
        <is>
          <t>6500</t>
        </is>
      </c>
      <c r="J90" s="52" t="inlineStr">
        <is>
          <t>PO-2026-1088</t>
        </is>
      </c>
      <c r="K90" s="55" t="inlineStr">
        <is>
          <t>Paid</t>
        </is>
      </c>
      <c r="L90" s="52">
        <f>IF([@Status]&lt;&gt;"Paid",MAX(0,TODAY()-[@[Due Date]]),0)</f>
        <v/>
      </c>
    </row>
    <row r="91" ht="15" customHeight="1">
      <c r="A91" s="56" t="inlineStr">
        <is>
          <t>PO-2026-1089</t>
        </is>
      </c>
      <c r="B91" s="57" t="inlineStr">
        <is>
          <t>SUP007</t>
        </is>
      </c>
      <c r="C91" s="56" t="inlineStr">
        <is>
          <t>Alpha Consulting</t>
        </is>
      </c>
      <c r="D91" s="58" t="n">
        <v>32748.05</v>
      </c>
      <c r="E91" s="57" t="inlineStr">
        <is>
          <t>EUR</t>
        </is>
      </c>
      <c r="F91" s="59" t="n">
        <v>46217</v>
      </c>
      <c r="G91" s="59" t="n">
        <v>46263</v>
      </c>
      <c r="H91" s="57" t="inlineStr">
        <is>
          <t>HR</t>
        </is>
      </c>
      <c r="I91" s="57" t="inlineStr">
        <is>
          <t>6500</t>
        </is>
      </c>
      <c r="J91" s="57" t="inlineStr">
        <is>
          <t>PO-2026-1089</t>
        </is>
      </c>
      <c r="K91" s="60" t="inlineStr">
        <is>
          <t>Open</t>
        </is>
      </c>
      <c r="L91" s="57">
        <f>IF([@Status]&lt;&gt;"Paid",MAX(0,TODAY()-[@[Due Date]]),0)</f>
        <v/>
      </c>
    </row>
    <row r="92" ht="15" customHeight="1">
      <c r="A92" s="56" t="inlineStr">
        <is>
          <t>Alpha Consulting</t>
        </is>
      </c>
      <c r="B92" s="57" t="inlineStr">
        <is>
          <t>SUP007</t>
        </is>
      </c>
      <c r="C92" s="56" t="inlineStr">
        <is>
          <t>Alpha Consulting</t>
        </is>
      </c>
      <c r="D92" s="58" t="n">
        <v>12113.32</v>
      </c>
      <c r="E92" s="57" t="inlineStr">
        <is>
          <t>EUR</t>
        </is>
      </c>
      <c r="F92" s="59" t="n">
        <v>46219</v>
      </c>
      <c r="G92" s="59" t="n">
        <v>46271</v>
      </c>
      <c r="H92" s="57" t="inlineStr">
        <is>
          <t>HR</t>
        </is>
      </c>
      <c r="I92" s="57" t="inlineStr">
        <is>
          <t>6500</t>
        </is>
      </c>
      <c r="J92" s="57" t="inlineStr">
        <is>
          <t>PO-2026-1090</t>
        </is>
      </c>
      <c r="K92" s="60" t="inlineStr">
        <is>
          <t>Open</t>
        </is>
      </c>
      <c r="L92" s="57">
        <f>IF([@Status]&lt;&gt;"Paid",MAX(0,TODAY()-[@[Due Date]]),0)</f>
        <v/>
      </c>
    </row>
    <row r="93" ht="15" customHeight="1">
      <c r="A93" s="51" t="inlineStr">
        <is>
          <t>PO-2026-1091</t>
        </is>
      </c>
      <c r="B93" s="52" t="inlineStr">
        <is>
          <t>SUP008</t>
        </is>
      </c>
      <c r="C93" s="51" t="inlineStr">
        <is>
          <t>Prime Maintenance Co</t>
        </is>
      </c>
      <c r="D93" s="53" t="n">
        <v>36478.78</v>
      </c>
      <c r="E93" s="52" t="inlineStr">
        <is>
          <t>EUR</t>
        </is>
      </c>
      <c r="F93" s="54" t="n">
        <v>46030</v>
      </c>
      <c r="G93" s="54" t="n">
        <v>46060</v>
      </c>
      <c r="H93" s="52" t="inlineStr">
        <is>
          <t>IT</t>
        </is>
      </c>
      <c r="I93" s="52" t="inlineStr">
        <is>
          <t>6200</t>
        </is>
      </c>
      <c r="J93" s="52" t="inlineStr">
        <is>
          <t>PO-2026-1091</t>
        </is>
      </c>
      <c r="K93" s="55" t="inlineStr">
        <is>
          <t>Paid</t>
        </is>
      </c>
      <c r="L93" s="52">
        <f>IF([@Status]&lt;&gt;"Paid",MAX(0,TODAY()-[@[Due Date]]),0)</f>
        <v/>
      </c>
    </row>
    <row r="94" ht="15" customHeight="1">
      <c r="A94" s="46" t="inlineStr">
        <is>
          <t>Prime Maintenance Co</t>
        </is>
      </c>
      <c r="B94" s="47" t="inlineStr">
        <is>
          <t>SUP008</t>
        </is>
      </c>
      <c r="C94" s="46" t="inlineStr">
        <is>
          <t>Prime Maintenance Co</t>
        </is>
      </c>
      <c r="D94" s="48" t="n">
        <v>41409.95</v>
      </c>
      <c r="E94" s="47" t="inlineStr">
        <is>
          <t>EUR</t>
        </is>
      </c>
      <c r="F94" s="49" t="n">
        <v>46024</v>
      </c>
      <c r="G94" s="49" t="n">
        <v>46056</v>
      </c>
      <c r="H94" s="47" t="inlineStr">
        <is>
          <t>IT</t>
        </is>
      </c>
      <c r="I94" s="47" t="inlineStr">
        <is>
          <t>6200</t>
        </is>
      </c>
      <c r="J94" s="47" t="inlineStr">
        <is>
          <t>PO-2026-1092</t>
        </is>
      </c>
      <c r="K94" s="50" t="inlineStr">
        <is>
          <t>Overdue</t>
        </is>
      </c>
      <c r="L94" s="47">
        <f>IF([@Status]&lt;&gt;"Paid",MAX(0,TODAY()-[@[Due Date]]),0)</f>
        <v/>
      </c>
    </row>
    <row r="95" ht="15" customHeight="1">
      <c r="A95" s="51" t="inlineStr">
        <is>
          <t>PO-2026-1093</t>
        </is>
      </c>
      <c r="B95" s="52" t="inlineStr">
        <is>
          <t>SUP008</t>
        </is>
      </c>
      <c r="C95" s="51" t="inlineStr">
        <is>
          <t>Prime Maintenance Co</t>
        </is>
      </c>
      <c r="D95" s="53" t="n">
        <v>42826.72</v>
      </c>
      <c r="E95" s="52" t="inlineStr">
        <is>
          <t>EUR</t>
        </is>
      </c>
      <c r="F95" s="54" t="n">
        <v>46075</v>
      </c>
      <c r="G95" s="54" t="n">
        <v>46110</v>
      </c>
      <c r="H95" s="52" t="inlineStr">
        <is>
          <t>IT</t>
        </is>
      </c>
      <c r="I95" s="52" t="inlineStr">
        <is>
          <t>6200</t>
        </is>
      </c>
      <c r="J95" s="52" t="inlineStr">
        <is>
          <t>PO-2026-1093</t>
        </is>
      </c>
      <c r="K95" s="55" t="inlineStr">
        <is>
          <t>Paid</t>
        </is>
      </c>
      <c r="L95" s="52">
        <f>IF([@Status]&lt;&gt;"Paid",MAX(0,TODAY()-[@[Due Date]]),0)</f>
        <v/>
      </c>
    </row>
    <row r="96" ht="15" customHeight="1">
      <c r="A96" s="51" t="inlineStr">
        <is>
          <t>PO-2026-1094</t>
        </is>
      </c>
      <c r="B96" s="52" t="inlineStr">
        <is>
          <t>SUP008</t>
        </is>
      </c>
      <c r="C96" s="51" t="inlineStr">
        <is>
          <t>Prime Maintenance Co</t>
        </is>
      </c>
      <c r="D96" s="53" t="n">
        <v>40528.55</v>
      </c>
      <c r="E96" s="52" t="inlineStr">
        <is>
          <t>EUR</t>
        </is>
      </c>
      <c r="F96" s="54" t="n">
        <v>46080</v>
      </c>
      <c r="G96" s="54" t="n">
        <v>46119</v>
      </c>
      <c r="H96" s="52" t="inlineStr">
        <is>
          <t>IT</t>
        </is>
      </c>
      <c r="I96" s="52" t="inlineStr">
        <is>
          <t>6200</t>
        </is>
      </c>
      <c r="J96" s="52" t="inlineStr">
        <is>
          <t>PO-2026-1094</t>
        </is>
      </c>
      <c r="K96" s="55" t="inlineStr">
        <is>
          <t>Paid</t>
        </is>
      </c>
      <c r="L96" s="52">
        <f>IF([@Status]&lt;&gt;"Paid",MAX(0,TODAY()-[@[Due Date]]),0)</f>
        <v/>
      </c>
    </row>
    <row r="97" ht="15" customHeight="1">
      <c r="A97" s="46" t="inlineStr">
        <is>
          <t>PO-2026-1095</t>
        </is>
      </c>
      <c r="B97" s="47" t="inlineStr">
        <is>
          <t>SUP008</t>
        </is>
      </c>
      <c r="C97" s="46" t="inlineStr">
        <is>
          <t>Prime Maintenance Co</t>
        </is>
      </c>
      <c r="D97" s="48" t="n">
        <v>38034.04</v>
      </c>
      <c r="E97" s="47" t="inlineStr">
        <is>
          <t>EUR</t>
        </is>
      </c>
      <c r="F97" s="49" t="n">
        <v>46090</v>
      </c>
      <c r="G97" s="49" t="n">
        <v>46122</v>
      </c>
      <c r="H97" s="47" t="inlineStr">
        <is>
          <t>IT</t>
        </is>
      </c>
      <c r="I97" s="47" t="inlineStr">
        <is>
          <t>6200</t>
        </is>
      </c>
      <c r="J97" s="47" t="inlineStr">
        <is>
          <t>PO-2026-1095</t>
        </is>
      </c>
      <c r="K97" s="50" t="inlineStr">
        <is>
          <t>Overdue</t>
        </is>
      </c>
      <c r="L97" s="47">
        <f>IF([@Status]&lt;&gt;"Paid",MAX(0,TODAY()-[@[Due Date]]),0)</f>
        <v/>
      </c>
    </row>
    <row r="98" ht="15" customHeight="1">
      <c r="A98" s="46" t="inlineStr">
        <is>
          <t>PO-2026-1096</t>
        </is>
      </c>
      <c r="B98" s="47" t="inlineStr">
        <is>
          <t>SUP008</t>
        </is>
      </c>
      <c r="C98" s="46" t="inlineStr">
        <is>
          <t>Prime Maintenance Co</t>
        </is>
      </c>
      <c r="D98" s="48" t="n">
        <v>13444.99</v>
      </c>
      <c r="E98" s="47" t="inlineStr">
        <is>
          <t>EUR</t>
        </is>
      </c>
      <c r="F98" s="49" t="n">
        <v>46102</v>
      </c>
      <c r="G98" s="49" t="n">
        <v>46134</v>
      </c>
      <c r="H98" s="47" t="inlineStr">
        <is>
          <t>IT</t>
        </is>
      </c>
      <c r="I98" s="47" t="inlineStr">
        <is>
          <t>6200</t>
        </is>
      </c>
      <c r="J98" s="47" t="inlineStr">
        <is>
          <t>PO-2026-1096</t>
        </is>
      </c>
      <c r="K98" s="50" t="inlineStr">
        <is>
          <t>Overdue</t>
        </is>
      </c>
      <c r="L98" s="47">
        <f>IF([@Status]&lt;&gt;"Paid",MAX(0,TODAY()-[@[Due Date]]),0)</f>
        <v/>
      </c>
    </row>
    <row r="99" ht="15" customHeight="1">
      <c r="A99" s="46" t="inlineStr">
        <is>
          <t>Prime Maintenance Co</t>
        </is>
      </c>
      <c r="B99" s="47" t="inlineStr">
        <is>
          <t>SUP008</t>
        </is>
      </c>
      <c r="C99" s="46" t="inlineStr">
        <is>
          <t>Prime Maintenance Co</t>
        </is>
      </c>
      <c r="D99" s="48" t="n">
        <v>15407.37</v>
      </c>
      <c r="E99" s="47" t="inlineStr">
        <is>
          <t>EUR</t>
        </is>
      </c>
      <c r="F99" s="49" t="n">
        <v>46121</v>
      </c>
      <c r="G99" s="49" t="n">
        <v>46156</v>
      </c>
      <c r="H99" s="47" t="inlineStr">
        <is>
          <t>IT</t>
        </is>
      </c>
      <c r="I99" s="47" t="inlineStr">
        <is>
          <t>6200</t>
        </is>
      </c>
      <c r="J99" s="47" t="inlineStr">
        <is>
          <t>PO-2026-1097</t>
        </is>
      </c>
      <c r="K99" s="50" t="inlineStr">
        <is>
          <t>Overdue</t>
        </is>
      </c>
      <c r="L99" s="47">
        <f>IF([@Status]&lt;&gt;"Paid",MAX(0,TODAY()-[@[Due Date]]),0)</f>
        <v/>
      </c>
    </row>
    <row r="100" ht="15" customHeight="1">
      <c r="A100" s="51" t="inlineStr">
        <is>
          <t>Prime Maintenance Co</t>
        </is>
      </c>
      <c r="B100" s="52" t="inlineStr">
        <is>
          <t>SUP008</t>
        </is>
      </c>
      <c r="C100" s="51" t="inlineStr">
        <is>
          <t>Prime Maintenance Co</t>
        </is>
      </c>
      <c r="D100" s="53" t="n">
        <v>31686.82</v>
      </c>
      <c r="E100" s="52" t="inlineStr">
        <is>
          <t>EUR</t>
        </is>
      </c>
      <c r="F100" s="54" t="n">
        <v>46150</v>
      </c>
      <c r="G100" s="54" t="n">
        <v>46187</v>
      </c>
      <c r="H100" s="52" t="inlineStr">
        <is>
          <t>IT</t>
        </is>
      </c>
      <c r="I100" s="52" t="inlineStr">
        <is>
          <t>6200</t>
        </is>
      </c>
      <c r="J100" s="52" t="inlineStr">
        <is>
          <t>PO-2026-1098</t>
        </is>
      </c>
      <c r="K100" s="55" t="inlineStr">
        <is>
          <t>Paid</t>
        </is>
      </c>
      <c r="L100" s="52">
        <f>IF([@Status]&lt;&gt;"Paid",MAX(0,TODAY()-[@[Due Date]]),0)</f>
        <v/>
      </c>
    </row>
    <row r="101" ht="15" customHeight="1">
      <c r="A101" s="46" t="inlineStr">
        <is>
          <t>Prime Maintenance Co</t>
        </is>
      </c>
      <c r="B101" s="47" t="inlineStr">
        <is>
          <t>SUP008</t>
        </is>
      </c>
      <c r="C101" s="46" t="inlineStr">
        <is>
          <t>Prime Maintenance Co</t>
        </is>
      </c>
      <c r="D101" s="48" t="n">
        <v>25103.58</v>
      </c>
      <c r="E101" s="47" t="inlineStr">
        <is>
          <t>EUR</t>
        </is>
      </c>
      <c r="F101" s="49" t="n">
        <v>46187</v>
      </c>
      <c r="G101" s="49" t="n">
        <v>46222</v>
      </c>
      <c r="H101" s="47" t="inlineStr">
        <is>
          <t>IT</t>
        </is>
      </c>
      <c r="I101" s="47" t="inlineStr">
        <is>
          <t>6200</t>
        </is>
      </c>
      <c r="J101" s="47" t="inlineStr">
        <is>
          <t>PO-2026-1099</t>
        </is>
      </c>
      <c r="K101" s="50" t="inlineStr">
        <is>
          <t>Overdue</t>
        </is>
      </c>
      <c r="L101" s="47">
        <f>IF([@Status]&lt;&gt;"Paid",MAX(0,TODAY()-[@[Due Date]]),0)</f>
        <v/>
      </c>
    </row>
    <row r="102" ht="15" customHeight="1">
      <c r="A102" s="56" t="inlineStr">
        <is>
          <t>Prime Maintenance Co</t>
        </is>
      </c>
      <c r="B102" s="57" t="inlineStr">
        <is>
          <t>SUP008</t>
        </is>
      </c>
      <c r="C102" s="56" t="inlineStr">
        <is>
          <t>Prime Maintenance Co</t>
        </is>
      </c>
      <c r="D102" s="58" t="n">
        <v>18442.24</v>
      </c>
      <c r="E102" s="57" t="inlineStr">
        <is>
          <t>EUR</t>
        </is>
      </c>
      <c r="F102" s="59" t="n">
        <v>46200</v>
      </c>
      <c r="G102" s="59" t="n">
        <v>46238</v>
      </c>
      <c r="H102" s="57" t="inlineStr">
        <is>
          <t>IT</t>
        </is>
      </c>
      <c r="I102" s="57" t="inlineStr">
        <is>
          <t>6200</t>
        </is>
      </c>
      <c r="J102" s="57" t="inlineStr">
        <is>
          <t>PO-2026-1100</t>
        </is>
      </c>
      <c r="K102" s="60" t="inlineStr">
        <is>
          <t>Open</t>
        </is>
      </c>
      <c r="L102" s="57">
        <f>IF([@Status]&lt;&gt;"Paid",MAX(0,TODAY()-[@[Due Date]]),0)</f>
        <v/>
      </c>
    </row>
    <row r="103" ht="15" customHeight="1">
      <c r="A103" s="56" t="inlineStr">
        <is>
          <t>PO-2026-1101</t>
        </is>
      </c>
      <c r="B103" s="57" t="inlineStr">
        <is>
          <t>SUP008</t>
        </is>
      </c>
      <c r="C103" s="56" t="inlineStr">
        <is>
          <t>Prime Maintenance Co</t>
        </is>
      </c>
      <c r="D103" s="58" t="n">
        <v>1756.48</v>
      </c>
      <c r="E103" s="57" t="inlineStr">
        <is>
          <t>EUR</t>
        </is>
      </c>
      <c r="F103" s="59" t="n">
        <v>46216</v>
      </c>
      <c r="G103" s="59" t="n">
        <v>46256</v>
      </c>
      <c r="H103" s="57" t="inlineStr">
        <is>
          <t>IT</t>
        </is>
      </c>
      <c r="I103" s="57" t="inlineStr">
        <is>
          <t>6200</t>
        </is>
      </c>
      <c r="J103" s="57" t="inlineStr">
        <is>
          <t>PO-2026-1101</t>
        </is>
      </c>
      <c r="K103" s="60" t="inlineStr">
        <is>
          <t>Open</t>
        </is>
      </c>
      <c r="L103" s="57">
        <f>IF([@Status]&lt;&gt;"Paid",MAX(0,TODAY()-[@[Due Date]]),0)</f>
        <v/>
      </c>
    </row>
    <row r="104" ht="15" customHeight="1">
      <c r="A104" s="56" t="inlineStr">
        <is>
          <t>PO-2026-1102</t>
        </is>
      </c>
      <c r="B104" s="57" t="inlineStr">
        <is>
          <t>SUP008</t>
        </is>
      </c>
      <c r="C104" s="56" t="inlineStr">
        <is>
          <t>Prime Maintenance Co</t>
        </is>
      </c>
      <c r="D104" s="58" t="n">
        <v>38624.99</v>
      </c>
      <c r="E104" s="57" t="inlineStr">
        <is>
          <t>EUR</t>
        </is>
      </c>
      <c r="F104" s="59" t="n">
        <v>46213</v>
      </c>
      <c r="G104" s="59" t="n">
        <v>46250</v>
      </c>
      <c r="H104" s="57" t="inlineStr">
        <is>
          <t>IT</t>
        </is>
      </c>
      <c r="I104" s="57" t="inlineStr">
        <is>
          <t>6200</t>
        </is>
      </c>
      <c r="J104" s="57" t="inlineStr">
        <is>
          <t>PO-2026-1102</t>
        </is>
      </c>
      <c r="K104" s="60" t="inlineStr">
        <is>
          <t>Open</t>
        </is>
      </c>
      <c r="L104" s="57">
        <f>IF([@Status]&lt;&gt;"Paid",MAX(0,TODAY()-[@[Due Date]]),0)</f>
        <v/>
      </c>
    </row>
    <row r="105" ht="15" customHeight="1">
      <c r="A105" s="56" t="inlineStr">
        <is>
          <t>PO-2026-1103</t>
        </is>
      </c>
      <c r="B105" s="57" t="inlineStr">
        <is>
          <t>SUP008</t>
        </is>
      </c>
      <c r="C105" s="56" t="inlineStr">
        <is>
          <t>Prime Maintenance Co</t>
        </is>
      </c>
      <c r="D105" s="58" t="n">
        <v>22737.98</v>
      </c>
      <c r="E105" s="57" t="inlineStr">
        <is>
          <t>EUR</t>
        </is>
      </c>
      <c r="F105" s="59" t="n">
        <v>46221</v>
      </c>
      <c r="G105" s="59" t="n">
        <v>46253</v>
      </c>
      <c r="H105" s="57" t="inlineStr">
        <is>
          <t>IT</t>
        </is>
      </c>
      <c r="I105" s="57" t="inlineStr">
        <is>
          <t>6200</t>
        </is>
      </c>
      <c r="J105" s="57" t="inlineStr">
        <is>
          <t>PO-2026-1103</t>
        </is>
      </c>
      <c r="K105" s="60" t="inlineStr">
        <is>
          <t>Open</t>
        </is>
      </c>
      <c r="L105" s="57">
        <f>IF([@Status]&lt;&gt;"Paid",MAX(0,TODAY()-[@[Due Date]]),0)</f>
        <v/>
      </c>
    </row>
    <row r="106" ht="15" customHeight="1">
      <c r="A106" s="51" t="inlineStr">
        <is>
          <t>PO-2026-1104</t>
        </is>
      </c>
      <c r="B106" s="52" t="inlineStr">
        <is>
          <t>SUP009</t>
        </is>
      </c>
      <c r="C106" s="51" t="inlineStr">
        <is>
          <t>Retail Display Systems</t>
        </is>
      </c>
      <c r="D106" s="53" t="n">
        <v>16121.64</v>
      </c>
      <c r="E106" s="52" t="inlineStr">
        <is>
          <t>EUR</t>
        </is>
      </c>
      <c r="F106" s="54" t="n">
        <v>46023</v>
      </c>
      <c r="G106" s="54" t="n">
        <v>46090</v>
      </c>
      <c r="H106" s="52" t="inlineStr">
        <is>
          <t>Office</t>
        </is>
      </c>
      <c r="I106" s="52" t="inlineStr">
        <is>
          <t>6700</t>
        </is>
      </c>
      <c r="J106" s="52" t="inlineStr">
        <is>
          <t>PO-2026-1104</t>
        </is>
      </c>
      <c r="K106" s="55" t="inlineStr">
        <is>
          <t>Paid</t>
        </is>
      </c>
      <c r="L106" s="52">
        <f>IF([@Status]&lt;&gt;"Paid",MAX(0,TODAY()-[@[Due Date]]),0)</f>
        <v/>
      </c>
    </row>
    <row r="107" ht="15" customHeight="1">
      <c r="A107" s="51" t="inlineStr">
        <is>
          <t>Retail Display Systems</t>
        </is>
      </c>
      <c r="B107" s="52" t="inlineStr">
        <is>
          <t>SUP009</t>
        </is>
      </c>
      <c r="C107" s="51" t="inlineStr">
        <is>
          <t>Retail Display Systems</t>
        </is>
      </c>
      <c r="D107" s="53" t="n">
        <v>38062</v>
      </c>
      <c r="E107" s="52" t="inlineStr">
        <is>
          <t>EUR</t>
        </is>
      </c>
      <c r="F107" s="54" t="n">
        <v>46046</v>
      </c>
      <c r="G107" s="54" t="n">
        <v>46106</v>
      </c>
      <c r="H107" s="52" t="inlineStr">
        <is>
          <t>Office</t>
        </is>
      </c>
      <c r="I107" s="52" t="inlineStr">
        <is>
          <t>6700</t>
        </is>
      </c>
      <c r="J107" s="52" t="inlineStr">
        <is>
          <t>PO-2026-1105</t>
        </is>
      </c>
      <c r="K107" s="55" t="inlineStr">
        <is>
          <t>Paid</t>
        </is>
      </c>
      <c r="L107" s="52">
        <f>IF([@Status]&lt;&gt;"Paid",MAX(0,TODAY()-[@[Due Date]]),0)</f>
        <v/>
      </c>
    </row>
    <row r="108" ht="15" customHeight="1">
      <c r="A108" s="46" t="inlineStr">
        <is>
          <t>PO-2026-1106</t>
        </is>
      </c>
      <c r="B108" s="47" t="inlineStr">
        <is>
          <t>SUP009</t>
        </is>
      </c>
      <c r="C108" s="46" t="inlineStr">
        <is>
          <t>Retail Display Systems</t>
        </is>
      </c>
      <c r="D108" s="48" t="n">
        <v>5151.71</v>
      </c>
      <c r="E108" s="47" t="inlineStr">
        <is>
          <t>EUR</t>
        </is>
      </c>
      <c r="F108" s="49" t="n">
        <v>46072</v>
      </c>
      <c r="G108" s="49" t="n">
        <v>46127</v>
      </c>
      <c r="H108" s="47" t="inlineStr">
        <is>
          <t>Office</t>
        </is>
      </c>
      <c r="I108" s="47" t="inlineStr">
        <is>
          <t>6700</t>
        </is>
      </c>
      <c r="J108" s="47" t="inlineStr">
        <is>
          <t>PO-2026-1106</t>
        </is>
      </c>
      <c r="K108" s="50" t="inlineStr">
        <is>
          <t>Overdue</t>
        </is>
      </c>
      <c r="L108" s="47">
        <f>IF([@Status]&lt;&gt;"Paid",MAX(0,TODAY()-[@[Due Date]]),0)</f>
        <v/>
      </c>
    </row>
    <row r="109" ht="15" customHeight="1">
      <c r="A109" s="46" t="inlineStr">
        <is>
          <t>PO-2026-1107</t>
        </is>
      </c>
      <c r="B109" s="47" t="inlineStr">
        <is>
          <t>SUP009</t>
        </is>
      </c>
      <c r="C109" s="46" t="inlineStr">
        <is>
          <t>Retail Display Systems</t>
        </is>
      </c>
      <c r="D109" s="48" t="n">
        <v>12816.8</v>
      </c>
      <c r="E109" s="47" t="inlineStr">
        <is>
          <t>EUR</t>
        </is>
      </c>
      <c r="F109" s="49" t="n">
        <v>46059</v>
      </c>
      <c r="G109" s="49" t="n">
        <v>46115</v>
      </c>
      <c r="H109" s="47" t="inlineStr">
        <is>
          <t>Office</t>
        </is>
      </c>
      <c r="I109" s="47" t="inlineStr">
        <is>
          <t>6700</t>
        </is>
      </c>
      <c r="J109" s="47" t="inlineStr">
        <is>
          <t>PO-2026-1107</t>
        </is>
      </c>
      <c r="K109" s="50" t="inlineStr">
        <is>
          <t>Overdue</t>
        </is>
      </c>
      <c r="L109" s="47">
        <f>IF([@Status]&lt;&gt;"Paid",MAX(0,TODAY()-[@[Due Date]]),0)</f>
        <v/>
      </c>
    </row>
    <row r="110" ht="15" customHeight="1">
      <c r="A110" s="51" t="inlineStr">
        <is>
          <t>PO-2026-1108</t>
        </is>
      </c>
      <c r="B110" s="52" t="inlineStr">
        <is>
          <t>SUP009</t>
        </is>
      </c>
      <c r="C110" s="51" t="inlineStr">
        <is>
          <t>Retail Display Systems</t>
        </is>
      </c>
      <c r="D110" s="53" t="n">
        <v>13604.16</v>
      </c>
      <c r="E110" s="52" t="inlineStr">
        <is>
          <t>EUR</t>
        </is>
      </c>
      <c r="F110" s="54" t="n">
        <v>46092</v>
      </c>
      <c r="G110" s="54" t="n">
        <v>46159</v>
      </c>
      <c r="H110" s="52" t="inlineStr">
        <is>
          <t>Office</t>
        </is>
      </c>
      <c r="I110" s="52" t="inlineStr">
        <is>
          <t>6700</t>
        </is>
      </c>
      <c r="J110" s="52" t="inlineStr">
        <is>
          <t>PO-2026-1108</t>
        </is>
      </c>
      <c r="K110" s="55" t="inlineStr">
        <is>
          <t>Paid</t>
        </is>
      </c>
      <c r="L110" s="52">
        <f>IF([@Status]&lt;&gt;"Paid",MAX(0,TODAY()-[@[Due Date]]),0)</f>
        <v/>
      </c>
    </row>
    <row r="111" ht="15" customHeight="1">
      <c r="A111" s="51" t="inlineStr">
        <is>
          <t>Retail Display Systems</t>
        </is>
      </c>
      <c r="B111" s="52" t="inlineStr">
        <is>
          <t>SUP009</t>
        </is>
      </c>
      <c r="C111" s="51" t="inlineStr">
        <is>
          <t>Retail Display Systems</t>
        </is>
      </c>
      <c r="D111" s="53" t="n">
        <v>21958.35</v>
      </c>
      <c r="E111" s="52" t="inlineStr">
        <is>
          <t>EUR</t>
        </is>
      </c>
      <c r="F111" s="54" t="n">
        <v>46090</v>
      </c>
      <c r="G111" s="54" t="n">
        <v>46147</v>
      </c>
      <c r="H111" s="52" t="inlineStr">
        <is>
          <t>Office</t>
        </is>
      </c>
      <c r="I111" s="52" t="inlineStr">
        <is>
          <t>6700</t>
        </is>
      </c>
      <c r="J111" s="52" t="inlineStr">
        <is>
          <t>PO-2026-1109</t>
        </is>
      </c>
      <c r="K111" s="55" t="inlineStr">
        <is>
          <t>Paid</t>
        </is>
      </c>
      <c r="L111" s="52">
        <f>IF([@Status]&lt;&gt;"Paid",MAX(0,TODAY()-[@[Due Date]]),0)</f>
        <v/>
      </c>
    </row>
    <row r="112" ht="15" customHeight="1">
      <c r="A112" s="51" t="inlineStr">
        <is>
          <t>Retail Display Systems</t>
        </is>
      </c>
      <c r="B112" s="52" t="inlineStr">
        <is>
          <t>SUP009</t>
        </is>
      </c>
      <c r="C112" s="51" t="inlineStr">
        <is>
          <t>Retail Display Systems</t>
        </is>
      </c>
      <c r="D112" s="53" t="n">
        <v>35483.64</v>
      </c>
      <c r="E112" s="52" t="inlineStr">
        <is>
          <t>EUR</t>
        </is>
      </c>
      <c r="F112" s="54" t="n">
        <v>46120</v>
      </c>
      <c r="G112" s="54" t="n">
        <v>46177</v>
      </c>
      <c r="H112" s="52" t="inlineStr">
        <is>
          <t>Office</t>
        </is>
      </c>
      <c r="I112" s="52" t="inlineStr">
        <is>
          <t>6700</t>
        </is>
      </c>
      <c r="J112" s="52" t="inlineStr">
        <is>
          <t>PO-2026-1110</t>
        </is>
      </c>
      <c r="K112" s="55" t="inlineStr">
        <is>
          <t>Paid</t>
        </is>
      </c>
      <c r="L112" s="52">
        <f>IF([@Status]&lt;&gt;"Paid",MAX(0,TODAY()-[@[Due Date]]),0)</f>
        <v/>
      </c>
    </row>
    <row r="113" ht="15" customHeight="1">
      <c r="A113" s="51" t="inlineStr">
        <is>
          <t>Retail Display Systems</t>
        </is>
      </c>
      <c r="B113" s="52" t="inlineStr">
        <is>
          <t>SUP009</t>
        </is>
      </c>
      <c r="C113" s="51" t="inlineStr">
        <is>
          <t>Retail Display Systems</t>
        </is>
      </c>
      <c r="D113" s="53" t="n">
        <v>38006.45</v>
      </c>
      <c r="E113" s="52" t="inlineStr">
        <is>
          <t>EUR</t>
        </is>
      </c>
      <c r="F113" s="54" t="n">
        <v>46120</v>
      </c>
      <c r="G113" s="54" t="n">
        <v>46181</v>
      </c>
      <c r="H113" s="52" t="inlineStr">
        <is>
          <t>Office</t>
        </is>
      </c>
      <c r="I113" s="52" t="inlineStr">
        <is>
          <t>6700</t>
        </is>
      </c>
      <c r="J113" s="52" t="inlineStr">
        <is>
          <t>PO-2026-1111</t>
        </is>
      </c>
      <c r="K113" s="55" t="inlineStr">
        <is>
          <t>Paid</t>
        </is>
      </c>
      <c r="L113" s="52">
        <f>IF([@Status]&lt;&gt;"Paid",MAX(0,TODAY()-[@[Due Date]]),0)</f>
        <v/>
      </c>
    </row>
    <row r="114" ht="15" customHeight="1">
      <c r="A114" s="46" t="inlineStr">
        <is>
          <t>PO-2026-1112</t>
        </is>
      </c>
      <c r="B114" s="47" t="inlineStr">
        <is>
          <t>SUP009</t>
        </is>
      </c>
      <c r="C114" s="46" t="inlineStr">
        <is>
          <t>Retail Display Systems</t>
        </is>
      </c>
      <c r="D114" s="48" t="n">
        <v>26032.68</v>
      </c>
      <c r="E114" s="47" t="inlineStr">
        <is>
          <t>EUR</t>
        </is>
      </c>
      <c r="F114" s="49" t="n">
        <v>46158</v>
      </c>
      <c r="G114" s="49" t="n">
        <v>46216</v>
      </c>
      <c r="H114" s="47" t="inlineStr">
        <is>
          <t>Office</t>
        </is>
      </c>
      <c r="I114" s="47" t="inlineStr">
        <is>
          <t>6700</t>
        </is>
      </c>
      <c r="J114" s="47" t="inlineStr">
        <is>
          <t>PO-2026-1112</t>
        </is>
      </c>
      <c r="K114" s="50" t="inlineStr">
        <is>
          <t>Overdue</t>
        </is>
      </c>
      <c r="L114" s="47">
        <f>IF([@Status]&lt;&gt;"Paid",MAX(0,TODAY()-[@[Due Date]]),0)</f>
        <v/>
      </c>
    </row>
    <row r="115" ht="15" customHeight="1">
      <c r="A115" s="56" t="inlineStr">
        <is>
          <t>Retail Display Systems</t>
        </is>
      </c>
      <c r="B115" s="57" t="inlineStr">
        <is>
          <t>SUP009</t>
        </is>
      </c>
      <c r="C115" s="56" t="inlineStr">
        <is>
          <t>Retail Display Systems</t>
        </is>
      </c>
      <c r="D115" s="58" t="n">
        <v>35333.95</v>
      </c>
      <c r="E115" s="57" t="inlineStr">
        <is>
          <t>EUR</t>
        </is>
      </c>
      <c r="F115" s="59" t="n">
        <v>46179</v>
      </c>
      <c r="G115" s="59" t="n">
        <v>46237</v>
      </c>
      <c r="H115" s="57" t="inlineStr">
        <is>
          <t>Office</t>
        </is>
      </c>
      <c r="I115" s="57" t="inlineStr">
        <is>
          <t>6700</t>
        </is>
      </c>
      <c r="J115" s="57" t="inlineStr">
        <is>
          <t>PO-2026-1113</t>
        </is>
      </c>
      <c r="K115" s="60" t="inlineStr">
        <is>
          <t>Open</t>
        </is>
      </c>
      <c r="L115" s="57">
        <f>IF([@Status]&lt;&gt;"Paid",MAX(0,TODAY()-[@[Due Date]]),0)</f>
        <v/>
      </c>
    </row>
    <row r="116" ht="15" customHeight="1">
      <c r="A116" s="56" t="inlineStr">
        <is>
          <t>PO-2026-1114</t>
        </is>
      </c>
      <c r="B116" s="57" t="inlineStr">
        <is>
          <t>SUP009</t>
        </is>
      </c>
      <c r="C116" s="56" t="inlineStr">
        <is>
          <t>Retail Display Systems</t>
        </is>
      </c>
      <c r="D116" s="58" t="n">
        <v>26672.79</v>
      </c>
      <c r="E116" s="57" t="inlineStr">
        <is>
          <t>EUR</t>
        </is>
      </c>
      <c r="F116" s="59" t="n">
        <v>46183</v>
      </c>
      <c r="G116" s="59" t="n">
        <v>46241</v>
      </c>
      <c r="H116" s="57" t="inlineStr">
        <is>
          <t>Office</t>
        </is>
      </c>
      <c r="I116" s="57" t="inlineStr">
        <is>
          <t>6700</t>
        </is>
      </c>
      <c r="J116" s="57" t="inlineStr">
        <is>
          <t>PO-2026-1114</t>
        </is>
      </c>
      <c r="K116" s="60" t="inlineStr">
        <is>
          <t>Open</t>
        </is>
      </c>
      <c r="L116" s="57">
        <f>IF([@Status]&lt;&gt;"Paid",MAX(0,TODAY()-[@[Due Date]]),0)</f>
        <v/>
      </c>
    </row>
    <row r="117" ht="15" customHeight="1">
      <c r="A117" s="56" t="inlineStr">
        <is>
          <t>Retail Display Systems</t>
        </is>
      </c>
      <c r="B117" s="57" t="inlineStr">
        <is>
          <t>SUP009</t>
        </is>
      </c>
      <c r="C117" s="56" t="inlineStr">
        <is>
          <t>Retail Display Systems</t>
        </is>
      </c>
      <c r="D117" s="58" t="n">
        <v>18754.47</v>
      </c>
      <c r="E117" s="57" t="inlineStr">
        <is>
          <t>EUR</t>
        </is>
      </c>
      <c r="F117" s="59" t="n">
        <v>46225</v>
      </c>
      <c r="G117" s="59" t="n">
        <v>46292</v>
      </c>
      <c r="H117" s="57" t="inlineStr">
        <is>
          <t>Office</t>
        </is>
      </c>
      <c r="I117" s="57" t="inlineStr">
        <is>
          <t>6700</t>
        </is>
      </c>
      <c r="J117" s="57" t="inlineStr">
        <is>
          <t>PO-2026-1115</t>
        </is>
      </c>
      <c r="K117" s="60" t="inlineStr">
        <is>
          <t>Open</t>
        </is>
      </c>
      <c r="L117" s="57">
        <f>IF([@Status]&lt;&gt;"Paid",MAX(0,TODAY()-[@[Due Date]]),0)</f>
        <v/>
      </c>
    </row>
    <row r="118" ht="15" customHeight="1">
      <c r="A118" s="56" t="inlineStr">
        <is>
          <t>PO-2026-1116</t>
        </is>
      </c>
      <c r="B118" s="57" t="inlineStr">
        <is>
          <t>SUP009</t>
        </is>
      </c>
      <c r="C118" s="56" t="inlineStr">
        <is>
          <t>Retail Display Systems</t>
        </is>
      </c>
      <c r="D118" s="58" t="n">
        <v>5932.71</v>
      </c>
      <c r="E118" s="57" t="inlineStr">
        <is>
          <t>EUR</t>
        </is>
      </c>
      <c r="F118" s="59" t="n">
        <v>46206</v>
      </c>
      <c r="G118" s="59" t="n">
        <v>46268</v>
      </c>
      <c r="H118" s="57" t="inlineStr">
        <is>
          <t>Office</t>
        </is>
      </c>
      <c r="I118" s="57" t="inlineStr">
        <is>
          <t>6700</t>
        </is>
      </c>
      <c r="J118" s="57" t="inlineStr">
        <is>
          <t>PO-2026-1116</t>
        </is>
      </c>
      <c r="K118" s="60" t="inlineStr">
        <is>
          <t>Open</t>
        </is>
      </c>
      <c r="L118" s="57">
        <f>IF([@Status]&lt;&gt;"Paid",MAX(0,TODAY()-[@[Due Date]]),0)</f>
        <v/>
      </c>
    </row>
    <row r="119" ht="15" customHeight="1">
      <c r="A119" s="56" t="inlineStr">
        <is>
          <t>Retail Display Systems</t>
        </is>
      </c>
      <c r="B119" s="57" t="inlineStr">
        <is>
          <t>SUP009</t>
        </is>
      </c>
      <c r="C119" s="56" t="inlineStr">
        <is>
          <t>Retail Display Systems</t>
        </is>
      </c>
      <c r="D119" s="58" t="n">
        <v>36135.88</v>
      </c>
      <c r="E119" s="57" t="inlineStr">
        <is>
          <t>EUR</t>
        </is>
      </c>
      <c r="F119" s="59" t="n">
        <v>46231</v>
      </c>
      <c r="G119" s="59" t="n">
        <v>46289</v>
      </c>
      <c r="H119" s="57" t="inlineStr">
        <is>
          <t>Office</t>
        </is>
      </c>
      <c r="I119" s="57" t="inlineStr">
        <is>
          <t>6700</t>
        </is>
      </c>
      <c r="J119" s="57" t="inlineStr">
        <is>
          <t>PO-2026-1117</t>
        </is>
      </c>
      <c r="K119" s="60" t="inlineStr">
        <is>
          <t>Open</t>
        </is>
      </c>
      <c r="L119" s="57">
        <f>IF([@Status]&lt;&gt;"Paid",MAX(0,TODAY()-[@[Due Date]]),0)</f>
        <v/>
      </c>
    </row>
    <row r="120" ht="15" customHeight="1">
      <c r="A120" s="51" t="inlineStr">
        <is>
          <t>HR Partners BV</t>
        </is>
      </c>
      <c r="B120" s="52" t="inlineStr">
        <is>
          <t>SUP010</t>
        </is>
      </c>
      <c r="C120" s="51" t="inlineStr">
        <is>
          <t>HR Partners BV</t>
        </is>
      </c>
      <c r="D120" s="53" t="n">
        <v>4499.62</v>
      </c>
      <c r="E120" s="52" t="inlineStr">
        <is>
          <t>EUR</t>
        </is>
      </c>
      <c r="F120" s="54" t="n">
        <v>46036</v>
      </c>
      <c r="G120" s="54" t="n">
        <v>46072</v>
      </c>
      <c r="H120" s="52" t="inlineStr">
        <is>
          <t>Marketing</t>
        </is>
      </c>
      <c r="I120" s="52" t="inlineStr">
        <is>
          <t>6600</t>
        </is>
      </c>
      <c r="J120" s="52" t="inlineStr">
        <is>
          <t>PO-2026-1118</t>
        </is>
      </c>
      <c r="K120" s="55" t="inlineStr">
        <is>
          <t>Paid</t>
        </is>
      </c>
      <c r="L120" s="52">
        <f>IF([@Status]&lt;&gt;"Paid",MAX(0,TODAY()-[@[Due Date]]),0)</f>
        <v/>
      </c>
    </row>
    <row r="121" ht="15" customHeight="1">
      <c r="A121" s="46" t="inlineStr">
        <is>
          <t>PO-2026-1119</t>
        </is>
      </c>
      <c r="B121" s="47" t="inlineStr">
        <is>
          <t>SUP010</t>
        </is>
      </c>
      <c r="C121" s="46" t="inlineStr">
        <is>
          <t>HR Partners BV</t>
        </is>
      </c>
      <c r="D121" s="48" t="n">
        <v>37271.39</v>
      </c>
      <c r="E121" s="47" t="inlineStr">
        <is>
          <t>EUR</t>
        </is>
      </c>
      <c r="F121" s="49" t="n">
        <v>46050</v>
      </c>
      <c r="G121" s="49" t="n">
        <v>46088</v>
      </c>
      <c r="H121" s="47" t="inlineStr">
        <is>
          <t>Marketing</t>
        </is>
      </c>
      <c r="I121" s="47" t="inlineStr">
        <is>
          <t>6600</t>
        </is>
      </c>
      <c r="J121" s="47" t="inlineStr">
        <is>
          <t>PO-2026-1119</t>
        </is>
      </c>
      <c r="K121" s="50" t="inlineStr">
        <is>
          <t>Overdue</t>
        </is>
      </c>
      <c r="L121" s="47">
        <f>IF([@Status]&lt;&gt;"Paid",MAX(0,TODAY()-[@[Due Date]]),0)</f>
        <v/>
      </c>
    </row>
    <row r="122" ht="15" customHeight="1">
      <c r="A122" s="46" t="inlineStr">
        <is>
          <t>PO-2026-1120</t>
        </is>
      </c>
      <c r="B122" s="47" t="inlineStr">
        <is>
          <t>SUP010</t>
        </is>
      </c>
      <c r="C122" s="46" t="inlineStr">
        <is>
          <t>HR Partners BV</t>
        </is>
      </c>
      <c r="D122" s="48" t="n">
        <v>32267.93</v>
      </c>
      <c r="E122" s="47" t="inlineStr">
        <is>
          <t>EUR</t>
        </is>
      </c>
      <c r="F122" s="49" t="n">
        <v>46043</v>
      </c>
      <c r="G122" s="49" t="n">
        <v>46082</v>
      </c>
      <c r="H122" s="47" t="inlineStr">
        <is>
          <t>Marketing</t>
        </is>
      </c>
      <c r="I122" s="47" t="inlineStr">
        <is>
          <t>6600</t>
        </is>
      </c>
      <c r="J122" s="47" t="inlineStr">
        <is>
          <t>PO-2026-1120</t>
        </is>
      </c>
      <c r="K122" s="50" t="inlineStr">
        <is>
          <t>Overdue</t>
        </is>
      </c>
      <c r="L122" s="47">
        <f>IF([@Status]&lt;&gt;"Paid",MAX(0,TODAY()-[@[Due Date]]),0)</f>
        <v/>
      </c>
    </row>
    <row r="123" ht="15" customHeight="1">
      <c r="A123" s="51" t="inlineStr">
        <is>
          <t>PO-2026-1121</t>
        </is>
      </c>
      <c r="B123" s="52" t="inlineStr">
        <is>
          <t>SUP010</t>
        </is>
      </c>
      <c r="C123" s="51" t="inlineStr">
        <is>
          <t>HR Partners BV</t>
        </is>
      </c>
      <c r="D123" s="53" t="n">
        <v>21722.01</v>
      </c>
      <c r="E123" s="52" t="inlineStr">
        <is>
          <t>EUR</t>
        </is>
      </c>
      <c r="F123" s="54" t="n">
        <v>46079</v>
      </c>
      <c r="G123" s="54" t="n">
        <v>46119</v>
      </c>
      <c r="H123" s="52" t="inlineStr">
        <is>
          <t>Marketing</t>
        </is>
      </c>
      <c r="I123" s="52" t="inlineStr">
        <is>
          <t>6600</t>
        </is>
      </c>
      <c r="J123" s="52" t="inlineStr">
        <is>
          <t>PO-2026-1121</t>
        </is>
      </c>
      <c r="K123" s="55" t="inlineStr">
        <is>
          <t>Paid</t>
        </is>
      </c>
      <c r="L123" s="52">
        <f>IF([@Status]&lt;&gt;"Paid",MAX(0,TODAY()-[@[Due Date]]),0)</f>
        <v/>
      </c>
    </row>
    <row r="124" ht="15" customHeight="1">
      <c r="A124" s="46" t="inlineStr">
        <is>
          <t>PO-2026-1122</t>
        </is>
      </c>
      <c r="B124" s="47" t="inlineStr">
        <is>
          <t>SUP010</t>
        </is>
      </c>
      <c r="C124" s="46" t="inlineStr">
        <is>
          <t>HR Partners BV</t>
        </is>
      </c>
      <c r="D124" s="48" t="n">
        <v>37636.8</v>
      </c>
      <c r="E124" s="47" t="inlineStr">
        <is>
          <t>EUR</t>
        </is>
      </c>
      <c r="F124" s="49" t="n">
        <v>46064</v>
      </c>
      <c r="G124" s="49" t="n">
        <v>46096</v>
      </c>
      <c r="H124" s="47" t="inlineStr">
        <is>
          <t>Marketing</t>
        </is>
      </c>
      <c r="I124" s="47" t="inlineStr">
        <is>
          <t>6600</t>
        </is>
      </c>
      <c r="J124" s="47" t="inlineStr">
        <is>
          <t>PO-2026-1122</t>
        </is>
      </c>
      <c r="K124" s="50" t="inlineStr">
        <is>
          <t>Overdue</t>
        </is>
      </c>
      <c r="L124" s="47">
        <f>IF([@Status]&lt;&gt;"Paid",MAX(0,TODAY()-[@[Due Date]]),0)</f>
        <v/>
      </c>
    </row>
    <row r="125" ht="15" customHeight="1">
      <c r="A125" s="51" t="inlineStr">
        <is>
          <t>PO-2026-1123</t>
        </is>
      </c>
      <c r="B125" s="52" t="inlineStr">
        <is>
          <t>SUP010</t>
        </is>
      </c>
      <c r="C125" s="51" t="inlineStr">
        <is>
          <t>HR Partners BV</t>
        </is>
      </c>
      <c r="D125" s="53" t="n">
        <v>26288.46</v>
      </c>
      <c r="E125" s="52" t="inlineStr">
        <is>
          <t>EUR</t>
        </is>
      </c>
      <c r="F125" s="54" t="n">
        <v>46061</v>
      </c>
      <c r="G125" s="54" t="n">
        <v>46100</v>
      </c>
      <c r="H125" s="52" t="inlineStr">
        <is>
          <t>Marketing</t>
        </is>
      </c>
      <c r="I125" s="52" t="inlineStr">
        <is>
          <t>6600</t>
        </is>
      </c>
      <c r="J125" s="52" t="inlineStr">
        <is>
          <t>PO-2026-1123</t>
        </is>
      </c>
      <c r="K125" s="55" t="inlineStr">
        <is>
          <t>Paid</t>
        </is>
      </c>
      <c r="L125" s="52">
        <f>IF([@Status]&lt;&gt;"Paid",MAX(0,TODAY()-[@[Due Date]]),0)</f>
        <v/>
      </c>
    </row>
    <row r="126" ht="15" customHeight="1">
      <c r="A126" s="46" t="inlineStr">
        <is>
          <t>PO-2026-1124</t>
        </is>
      </c>
      <c r="B126" s="47" t="inlineStr">
        <is>
          <t>SUP010</t>
        </is>
      </c>
      <c r="C126" s="46" t="inlineStr">
        <is>
          <t>HR Partners BV</t>
        </is>
      </c>
      <c r="D126" s="48" t="n">
        <v>9410.030000000001</v>
      </c>
      <c r="E126" s="47" t="inlineStr">
        <is>
          <t>EUR</t>
        </is>
      </c>
      <c r="F126" s="49" t="n">
        <v>46097</v>
      </c>
      <c r="G126" s="49" t="n">
        <v>46132</v>
      </c>
      <c r="H126" s="47" t="inlineStr">
        <is>
          <t>Marketing</t>
        </is>
      </c>
      <c r="I126" s="47" t="inlineStr">
        <is>
          <t>6600</t>
        </is>
      </c>
      <c r="J126" s="47" t="inlineStr">
        <is>
          <t>PO-2026-1124</t>
        </is>
      </c>
      <c r="K126" s="50" t="inlineStr">
        <is>
          <t>Overdue</t>
        </is>
      </c>
      <c r="L126" s="47">
        <f>IF([@Status]&lt;&gt;"Paid",MAX(0,TODAY()-[@[Due Date]]),0)</f>
        <v/>
      </c>
    </row>
    <row r="127" ht="15" customHeight="1">
      <c r="A127" s="46" t="inlineStr">
        <is>
          <t>HR Partners BV</t>
        </is>
      </c>
      <c r="B127" s="47" t="inlineStr">
        <is>
          <t>SUP010</t>
        </is>
      </c>
      <c r="C127" s="46" t="inlineStr">
        <is>
          <t>HR Partners BV</t>
        </is>
      </c>
      <c r="D127" s="48" t="n">
        <v>25676.91</v>
      </c>
      <c r="E127" s="47" t="inlineStr">
        <is>
          <t>EUR</t>
        </is>
      </c>
      <c r="F127" s="49" t="n">
        <v>46121</v>
      </c>
      <c r="G127" s="49" t="n">
        <v>46154</v>
      </c>
      <c r="H127" s="47" t="inlineStr">
        <is>
          <t>Marketing</t>
        </is>
      </c>
      <c r="I127" s="47" t="inlineStr">
        <is>
          <t>6600</t>
        </is>
      </c>
      <c r="J127" s="47" t="inlineStr">
        <is>
          <t>PO-2026-1125</t>
        </is>
      </c>
      <c r="K127" s="50" t="inlineStr">
        <is>
          <t>Overdue</t>
        </is>
      </c>
      <c r="L127" s="47">
        <f>IF([@Status]&lt;&gt;"Paid",MAX(0,TODAY()-[@[Due Date]]),0)</f>
        <v/>
      </c>
    </row>
    <row r="128" ht="15" customHeight="1">
      <c r="A128" s="46" t="inlineStr">
        <is>
          <t>HR Partners BV</t>
        </is>
      </c>
      <c r="B128" s="47" t="inlineStr">
        <is>
          <t>SUP010</t>
        </is>
      </c>
      <c r="C128" s="46" t="inlineStr">
        <is>
          <t>HR Partners BV</t>
        </is>
      </c>
      <c r="D128" s="48" t="n">
        <v>32823.25</v>
      </c>
      <c r="E128" s="47" t="inlineStr">
        <is>
          <t>EUR</t>
        </is>
      </c>
      <c r="F128" s="49" t="n">
        <v>46115</v>
      </c>
      <c r="G128" s="49" t="n">
        <v>46147</v>
      </c>
      <c r="H128" s="47" t="inlineStr">
        <is>
          <t>Marketing</t>
        </is>
      </c>
      <c r="I128" s="47" t="inlineStr">
        <is>
          <t>6600</t>
        </is>
      </c>
      <c r="J128" s="47" t="inlineStr">
        <is>
          <t>PO-2026-1126</t>
        </is>
      </c>
      <c r="K128" s="50" t="inlineStr">
        <is>
          <t>Overdue</t>
        </is>
      </c>
      <c r="L128" s="47">
        <f>IF([@Status]&lt;&gt;"Paid",MAX(0,TODAY()-[@[Due Date]]),0)</f>
        <v/>
      </c>
    </row>
    <row r="129" ht="15" customHeight="1">
      <c r="A129" s="46" t="inlineStr">
        <is>
          <t>PO-2026-1127</t>
        </is>
      </c>
      <c r="B129" s="47" t="inlineStr">
        <is>
          <t>SUP010</t>
        </is>
      </c>
      <c r="C129" s="46" t="inlineStr">
        <is>
          <t>HR Partners BV</t>
        </is>
      </c>
      <c r="D129" s="48" t="n">
        <v>20995.59</v>
      </c>
      <c r="E129" s="47" t="inlineStr">
        <is>
          <t>EUR</t>
        </is>
      </c>
      <c r="F129" s="49" t="n">
        <v>46158</v>
      </c>
      <c r="G129" s="49" t="n">
        <v>46198</v>
      </c>
      <c r="H129" s="47" t="inlineStr">
        <is>
          <t>Marketing</t>
        </is>
      </c>
      <c r="I129" s="47" t="inlineStr">
        <is>
          <t>6600</t>
        </is>
      </c>
      <c r="J129" s="47" t="inlineStr">
        <is>
          <t>PO-2026-1127</t>
        </is>
      </c>
      <c r="K129" s="50" t="inlineStr">
        <is>
          <t>Overdue</t>
        </is>
      </c>
      <c r="L129" s="47">
        <f>IF([@Status]&lt;&gt;"Paid",MAX(0,TODAY()-[@[Due Date]]),0)</f>
        <v/>
      </c>
    </row>
    <row r="130" ht="15" customHeight="1">
      <c r="A130" s="46" t="inlineStr">
        <is>
          <t>PO-2026-1128</t>
        </is>
      </c>
      <c r="B130" s="47" t="inlineStr">
        <is>
          <t>SUP010</t>
        </is>
      </c>
      <c r="C130" s="46" t="inlineStr">
        <is>
          <t>HR Partners BV</t>
        </is>
      </c>
      <c r="D130" s="48" t="n">
        <v>31592.74</v>
      </c>
      <c r="E130" s="47" t="inlineStr">
        <is>
          <t>EUR</t>
        </is>
      </c>
      <c r="F130" s="49" t="n">
        <v>46150</v>
      </c>
      <c r="G130" s="49" t="n">
        <v>46187</v>
      </c>
      <c r="H130" s="47" t="inlineStr">
        <is>
          <t>Marketing</t>
        </is>
      </c>
      <c r="I130" s="47" t="inlineStr">
        <is>
          <t>6600</t>
        </is>
      </c>
      <c r="J130" s="47" t="inlineStr">
        <is>
          <t>PO-2026-1128</t>
        </is>
      </c>
      <c r="K130" s="50" t="inlineStr">
        <is>
          <t>Overdue</t>
        </is>
      </c>
      <c r="L130" s="47">
        <f>IF([@Status]&lt;&gt;"Paid",MAX(0,TODAY()-[@[Due Date]]),0)</f>
        <v/>
      </c>
    </row>
    <row r="131" ht="15" customHeight="1">
      <c r="A131" s="51" t="inlineStr">
        <is>
          <t>PO-2026-1129</t>
        </is>
      </c>
      <c r="B131" s="52" t="inlineStr">
        <is>
          <t>SUP010</t>
        </is>
      </c>
      <c r="C131" s="51" t="inlineStr">
        <is>
          <t>HR Partners BV</t>
        </is>
      </c>
      <c r="D131" s="53" t="n">
        <v>20009.42</v>
      </c>
      <c r="E131" s="52" t="inlineStr">
        <is>
          <t>EUR</t>
        </is>
      </c>
      <c r="F131" s="54" t="n">
        <v>46158</v>
      </c>
      <c r="G131" s="54" t="n">
        <v>46194</v>
      </c>
      <c r="H131" s="52" t="inlineStr">
        <is>
          <t>Marketing</t>
        </is>
      </c>
      <c r="I131" s="52" t="inlineStr">
        <is>
          <t>6600</t>
        </is>
      </c>
      <c r="J131" s="52" t="inlineStr">
        <is>
          <t>PO-2026-1129</t>
        </is>
      </c>
      <c r="K131" s="55" t="inlineStr">
        <is>
          <t>Paid</t>
        </is>
      </c>
      <c r="L131" s="52">
        <f>IF([@Status]&lt;&gt;"Paid",MAX(0,TODAY()-[@[Due Date]]),0)</f>
        <v/>
      </c>
    </row>
    <row r="132" ht="15" customHeight="1">
      <c r="A132" s="56" t="inlineStr">
        <is>
          <t>PO-2026-1130</t>
        </is>
      </c>
      <c r="B132" s="57" t="inlineStr">
        <is>
          <t>SUP010</t>
        </is>
      </c>
      <c r="C132" s="56" t="inlineStr">
        <is>
          <t>HR Partners BV</t>
        </is>
      </c>
      <c r="D132" s="58" t="n">
        <v>13284.86</v>
      </c>
      <c r="E132" s="57" t="inlineStr">
        <is>
          <t>EUR</t>
        </is>
      </c>
      <c r="F132" s="59" t="n">
        <v>46196</v>
      </c>
      <c r="G132" s="59" t="n">
        <v>46235</v>
      </c>
      <c r="H132" s="57" t="inlineStr">
        <is>
          <t>Marketing</t>
        </is>
      </c>
      <c r="I132" s="57" t="inlineStr">
        <is>
          <t>6600</t>
        </is>
      </c>
      <c r="J132" s="57" t="inlineStr">
        <is>
          <t>PO-2026-1130</t>
        </is>
      </c>
      <c r="K132" s="60" t="inlineStr">
        <is>
          <t>Open</t>
        </is>
      </c>
      <c r="L132" s="57">
        <f>IF([@Status]&lt;&gt;"Paid",MAX(0,TODAY()-[@[Due Date]]),0)</f>
        <v/>
      </c>
    </row>
    <row r="133" ht="15" customHeight="1">
      <c r="A133" s="46" t="inlineStr">
        <is>
          <t>HR Partners BV</t>
        </is>
      </c>
      <c r="B133" s="47" t="inlineStr">
        <is>
          <t>SUP010</t>
        </is>
      </c>
      <c r="C133" s="46" t="inlineStr">
        <is>
          <t>HR Partners BV</t>
        </is>
      </c>
      <c r="D133" s="48" t="n">
        <v>32875.87</v>
      </c>
      <c r="E133" s="47" t="inlineStr">
        <is>
          <t>EUR</t>
        </is>
      </c>
      <c r="F133" s="49" t="n">
        <v>46181</v>
      </c>
      <c r="G133" s="49" t="n">
        <v>46209</v>
      </c>
      <c r="H133" s="47" t="inlineStr">
        <is>
          <t>Marketing</t>
        </is>
      </c>
      <c r="I133" s="47" t="inlineStr">
        <is>
          <t>6600</t>
        </is>
      </c>
      <c r="J133" s="47" t="inlineStr">
        <is>
          <t>PO-2026-1131</t>
        </is>
      </c>
      <c r="K133" s="50" t="inlineStr">
        <is>
          <t>Overdue</t>
        </is>
      </c>
      <c r="L133" s="47">
        <f>IF([@Status]&lt;&gt;"Paid",MAX(0,TODAY()-[@[Due Date]]),0)</f>
        <v/>
      </c>
    </row>
    <row r="134" ht="15" customHeight="1">
      <c r="A134" s="56" t="inlineStr">
        <is>
          <t>PO-2026-1132</t>
        </is>
      </c>
      <c r="B134" s="57" t="inlineStr">
        <is>
          <t>SUP010</t>
        </is>
      </c>
      <c r="C134" s="56" t="inlineStr">
        <is>
          <t>HR Partners BV</t>
        </is>
      </c>
      <c r="D134" s="58" t="n">
        <v>13527.73</v>
      </c>
      <c r="E134" s="57" t="inlineStr">
        <is>
          <t>EUR</t>
        </is>
      </c>
      <c r="F134" s="59" t="n">
        <v>46210</v>
      </c>
      <c r="G134" s="59" t="n">
        <v>46250</v>
      </c>
      <c r="H134" s="57" t="inlineStr">
        <is>
          <t>Marketing</t>
        </is>
      </c>
      <c r="I134" s="57" t="inlineStr">
        <is>
          <t>6600</t>
        </is>
      </c>
      <c r="J134" s="57" t="inlineStr">
        <is>
          <t>PO-2026-1132</t>
        </is>
      </c>
      <c r="K134" s="60" t="inlineStr">
        <is>
          <t>Open</t>
        </is>
      </c>
      <c r="L134" s="57">
        <f>IF([@Status]&lt;&gt;"Paid",MAX(0,TODAY()-[@[Due Date]]),0)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8860B"/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0" customWidth="1" min="4" max="4"/>
    <col width="16" customWidth="1" min="5" max="5"/>
    <col width="22" customWidth="1" min="6" max="6"/>
  </cols>
  <sheetData>
    <row r="1" ht="22" customHeight="1">
      <c r="A1" s="61" t="inlineStr">
        <is>
          <t>Supplier Code</t>
        </is>
      </c>
      <c r="B1" s="61" t="inlineStr">
        <is>
          <t>Supplier Name</t>
        </is>
      </c>
      <c r="C1" s="61" t="inlineStr">
        <is>
          <t>AP Balance (EUR)</t>
        </is>
      </c>
      <c r="D1" s="61" t="inlineStr">
        <is>
          <t>Currency</t>
        </is>
      </c>
      <c r="E1" s="61" t="inlineStr">
        <is>
          <t>Payment Method</t>
        </is>
      </c>
      <c r="F1" s="61" t="inlineStr">
        <is>
          <t>Payment Terms (days)</t>
        </is>
      </c>
    </row>
    <row r="2" ht="16" customHeight="1">
      <c r="A2" s="62" t="inlineStr">
        <is>
          <t>SUP001</t>
        </is>
      </c>
      <c r="B2" s="63" t="inlineStr">
        <is>
          <t>Acme Logistics BV</t>
        </is>
      </c>
      <c r="C2" s="64" t="n">
        <v>145009.07</v>
      </c>
      <c r="D2" s="62" t="inlineStr">
        <is>
          <t>EUR</t>
        </is>
      </c>
      <c r="E2" s="62" t="inlineStr">
        <is>
          <t>Bank Transfer</t>
        </is>
      </c>
      <c r="F2" s="62" t="n">
        <v>30</v>
      </c>
    </row>
    <row r="3" ht="16" customHeight="1">
      <c r="A3" s="62" t="inlineStr">
        <is>
          <t>SUP002</t>
        </is>
      </c>
      <c r="B3" s="63" t="inlineStr">
        <is>
          <t>TechParts Solutions</t>
        </is>
      </c>
      <c r="C3" s="64" t="n">
        <v>181148.29</v>
      </c>
      <c r="D3" s="62" t="inlineStr">
        <is>
          <t>EUR</t>
        </is>
      </c>
      <c r="E3" s="62" t="inlineStr">
        <is>
          <t>Bank Transfer</t>
        </is>
      </c>
      <c r="F3" s="62" t="n">
        <v>45</v>
      </c>
    </row>
    <row r="4" ht="16" customHeight="1">
      <c r="A4" s="62" t="inlineStr">
        <is>
          <t>SUP003</t>
        </is>
      </c>
      <c r="B4" s="63" t="inlineStr">
        <is>
          <t>Global Freight NL</t>
        </is>
      </c>
      <c r="C4" s="64" t="n">
        <v>217664.3</v>
      </c>
      <c r="D4" s="62" t="inlineStr">
        <is>
          <t>EUR</t>
        </is>
      </c>
      <c r="E4" s="62" t="inlineStr">
        <is>
          <t>SEPA</t>
        </is>
      </c>
      <c r="F4" s="62" t="n">
        <v>30</v>
      </c>
    </row>
    <row r="5" ht="16" customHeight="1">
      <c r="A5" s="62" t="inlineStr">
        <is>
          <t>SUP004</t>
        </is>
      </c>
      <c r="B5" s="63" t="inlineStr">
        <is>
          <t>OfficePlus Nederland</t>
        </is>
      </c>
      <c r="C5" s="64" t="n">
        <v>144251.31</v>
      </c>
      <c r="D5" s="62" t="inlineStr">
        <is>
          <t>EUR</t>
        </is>
      </c>
      <c r="E5" s="62" t="inlineStr">
        <is>
          <t>Bank Transfer</t>
        </is>
      </c>
      <c r="F5" s="62" t="n">
        <v>60</v>
      </c>
    </row>
    <row r="6" ht="16" customHeight="1">
      <c r="A6" s="62" t="inlineStr">
        <is>
          <t>SUP005</t>
        </is>
      </c>
      <c r="B6" s="63" t="inlineStr">
        <is>
          <t>CleanServ BV</t>
        </is>
      </c>
      <c r="C6" s="64" t="n">
        <v>148227.66</v>
      </c>
      <c r="D6" s="62" t="inlineStr">
        <is>
          <t>EUR</t>
        </is>
      </c>
      <c r="E6" s="62" t="inlineStr">
        <is>
          <t>Direct Debit</t>
        </is>
      </c>
      <c r="F6" s="62" t="n">
        <v>30</v>
      </c>
    </row>
    <row r="7" ht="16" customHeight="1">
      <c r="A7" s="62" t="inlineStr">
        <is>
          <t>SUP006</t>
        </is>
      </c>
      <c r="B7" s="63" t="inlineStr">
        <is>
          <t>ITware Group</t>
        </is>
      </c>
      <c r="C7" s="64" t="n">
        <v>198478.61</v>
      </c>
      <c r="D7" s="62" t="inlineStr">
        <is>
          <t>EUR</t>
        </is>
      </c>
      <c r="E7" s="62" t="inlineStr">
        <is>
          <t>Bank Transfer</t>
        </is>
      </c>
      <c r="F7" s="62" t="n">
        <v>30</v>
      </c>
    </row>
    <row r="8" ht="16" customHeight="1">
      <c r="A8" s="62" t="inlineStr">
        <is>
          <t>SUP007</t>
        </is>
      </c>
      <c r="B8" s="63" t="inlineStr">
        <is>
          <t>Alpha Consulting</t>
        </is>
      </c>
      <c r="C8" s="64" t="n">
        <v>184815.6</v>
      </c>
      <c r="D8" s="62" t="inlineStr">
        <is>
          <t>EUR</t>
        </is>
      </c>
      <c r="E8" s="62" t="inlineStr">
        <is>
          <t>Bank Transfer</t>
        </is>
      </c>
      <c r="F8" s="62" t="n">
        <v>45</v>
      </c>
    </row>
    <row r="9" ht="16" customHeight="1">
      <c r="A9" s="62" t="inlineStr">
        <is>
          <t>SUP008</t>
        </is>
      </c>
      <c r="B9" s="63" t="inlineStr">
        <is>
          <t>Prime Maintenance Co</t>
        </is>
      </c>
      <c r="C9" s="64" t="n">
        <v>214961.62</v>
      </c>
      <c r="D9" s="62" t="inlineStr">
        <is>
          <t>EUR</t>
        </is>
      </c>
      <c r="E9" s="62" t="inlineStr">
        <is>
          <t>SEPA</t>
        </is>
      </c>
      <c r="F9" s="62" t="n">
        <v>30</v>
      </c>
    </row>
    <row r="10" ht="16" customHeight="1">
      <c r="A10" s="62" t="inlineStr">
        <is>
          <t>SUP009</t>
        </is>
      </c>
      <c r="B10" s="63" t="inlineStr">
        <is>
          <t>Retail Display Systems</t>
        </is>
      </c>
      <c r="C10" s="64" t="n">
        <v>166830.99</v>
      </c>
      <c r="D10" s="62" t="inlineStr">
        <is>
          <t>EUR</t>
        </is>
      </c>
      <c r="E10" s="62" t="inlineStr">
        <is>
          <t>Bank Transfer</t>
        </is>
      </c>
      <c r="F10" s="62" t="n">
        <v>60</v>
      </c>
    </row>
    <row r="11" ht="16" customHeight="1">
      <c r="A11" s="62" t="inlineStr">
        <is>
          <t>SUP010</t>
        </is>
      </c>
      <c r="B11" s="63" t="inlineStr">
        <is>
          <t>HR Partners BV</t>
        </is>
      </c>
      <c r="C11" s="64" t="n">
        <v>287363.1</v>
      </c>
      <c r="D11" s="62" t="inlineStr">
        <is>
          <t>EUR</t>
        </is>
      </c>
      <c r="E11" s="62" t="inlineStr">
        <is>
          <t>Bank Transfer</t>
        </is>
      </c>
      <c r="F11" s="62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71A3"/>
    <outlinePr summaryBelow="1" summaryRight="1"/>
    <pageSetUpPr/>
  </sheetPr>
  <dimension ref="A1:F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0" customWidth="1" min="4" max="4"/>
    <col width="16" customWidth="1" min="5" max="5"/>
    <col width="16" customWidth="1" min="6" max="6"/>
  </cols>
  <sheetData>
    <row r="1" ht="22" customHeight="1">
      <c r="A1" s="65" t="inlineStr">
        <is>
          <t>Period</t>
        </is>
      </c>
      <c r="B1" s="65" t="inlineStr">
        <is>
          <t>Supplier Name</t>
        </is>
      </c>
      <c r="C1" s="65" t="inlineStr">
        <is>
          <t>Category</t>
        </is>
      </c>
      <c r="D1" s="65" t="inlineStr">
        <is>
          <t>GL Code</t>
        </is>
      </c>
      <c r="E1" s="65" t="inlineStr">
        <is>
          <t>PO Number</t>
        </is>
      </c>
      <c r="F1" s="65" t="inlineStr">
        <is>
          <t>Budget (EUR)</t>
        </is>
      </c>
    </row>
    <row r="2" ht="15" customHeight="1">
      <c r="A2" s="62" t="inlineStr">
        <is>
          <t>2026-01</t>
        </is>
      </c>
      <c r="B2" s="66" t="inlineStr">
        <is>
          <t>Acme Logistics BV</t>
        </is>
      </c>
      <c r="C2" s="62" t="inlineStr">
        <is>
          <t>IT</t>
        </is>
      </c>
      <c r="D2" s="67" t="inlineStr">
        <is>
          <t>6200</t>
        </is>
      </c>
      <c r="E2" s="62" t="inlineStr">
        <is>
          <t>PO-2026-4180</t>
        </is>
      </c>
      <c r="F2" s="68" t="n">
        <v>58512.04</v>
      </c>
    </row>
    <row r="3" ht="15" customHeight="1">
      <c r="A3" s="62" t="inlineStr">
        <is>
          <t>2026-02</t>
        </is>
      </c>
      <c r="B3" s="66" t="inlineStr">
        <is>
          <t>Acme Logistics BV</t>
        </is>
      </c>
      <c r="C3" s="62" t="inlineStr">
        <is>
          <t>IT</t>
        </is>
      </c>
      <c r="D3" s="67" t="inlineStr">
        <is>
          <t>6200</t>
        </is>
      </c>
      <c r="E3" s="62" t="inlineStr">
        <is>
          <t>PO-2026-6912</t>
        </is>
      </c>
      <c r="F3" s="68" t="n">
        <v>43327.4</v>
      </c>
    </row>
    <row r="4" ht="15" customHeight="1">
      <c r="A4" s="62" t="inlineStr">
        <is>
          <t>2026-03</t>
        </is>
      </c>
      <c r="B4" s="66" t="inlineStr">
        <is>
          <t>Acme Logistics BV</t>
        </is>
      </c>
      <c r="C4" s="62" t="inlineStr">
        <is>
          <t>IT</t>
        </is>
      </c>
      <c r="D4" s="67" t="inlineStr">
        <is>
          <t>6200</t>
        </is>
      </c>
      <c r="E4" s="62" t="inlineStr">
        <is>
          <t>PO-2026-1231</t>
        </is>
      </c>
      <c r="F4" s="68" t="n">
        <v>112042.4</v>
      </c>
    </row>
    <row r="5" ht="15" customHeight="1">
      <c r="A5" s="62" t="inlineStr">
        <is>
          <t>2026-04</t>
        </is>
      </c>
      <c r="B5" s="66" t="inlineStr">
        <is>
          <t>Acme Logistics BV</t>
        </is>
      </c>
      <c r="C5" s="62" t="inlineStr">
        <is>
          <t>IT</t>
        </is>
      </c>
      <c r="D5" s="67" t="inlineStr">
        <is>
          <t>6200</t>
        </is>
      </c>
      <c r="E5" s="62" t="inlineStr">
        <is>
          <t>PO-2026-3073</t>
        </is>
      </c>
      <c r="F5" s="68" t="n">
        <v>55660.47</v>
      </c>
    </row>
    <row r="6" ht="15" customHeight="1">
      <c r="A6" s="62" t="inlineStr">
        <is>
          <t>2026-05</t>
        </is>
      </c>
      <c r="B6" s="66" t="inlineStr">
        <is>
          <t>Acme Logistics BV</t>
        </is>
      </c>
      <c r="C6" s="62" t="inlineStr">
        <is>
          <t>IT</t>
        </is>
      </c>
      <c r="D6" s="67" t="inlineStr">
        <is>
          <t>6200</t>
        </is>
      </c>
      <c r="E6" s="62" t="inlineStr">
        <is>
          <t>PO-2026-1893</t>
        </is>
      </c>
      <c r="F6" s="68" t="n">
        <v>91936.67</v>
      </c>
    </row>
    <row r="7" ht="15" customHeight="1">
      <c r="A7" s="62" t="inlineStr">
        <is>
          <t>2026-06</t>
        </is>
      </c>
      <c r="B7" s="66" t="inlineStr">
        <is>
          <t>Acme Logistics BV</t>
        </is>
      </c>
      <c r="C7" s="62" t="inlineStr">
        <is>
          <t>IT</t>
        </is>
      </c>
      <c r="D7" s="67" t="inlineStr">
        <is>
          <t>6200</t>
        </is>
      </c>
      <c r="E7" s="62" t="inlineStr">
        <is>
          <t>PO-2026-3068</t>
        </is>
      </c>
      <c r="F7" s="68" t="n">
        <v>102923.06</v>
      </c>
    </row>
    <row r="8" ht="15" customHeight="1">
      <c r="A8" s="62" t="inlineStr">
        <is>
          <t>2026-07</t>
        </is>
      </c>
      <c r="B8" s="66" t="inlineStr">
        <is>
          <t>Acme Logistics BV</t>
        </is>
      </c>
      <c r="C8" s="62" t="inlineStr">
        <is>
          <t>IT</t>
        </is>
      </c>
      <c r="D8" s="67" t="inlineStr">
        <is>
          <t>6200</t>
        </is>
      </c>
      <c r="E8" s="62" t="inlineStr">
        <is>
          <t>PO-2026-9042</t>
        </is>
      </c>
      <c r="F8" s="68" t="n">
        <v>33336.39</v>
      </c>
    </row>
    <row r="9" ht="15" customHeight="1">
      <c r="A9" s="62" t="inlineStr">
        <is>
          <t>2026-01</t>
        </is>
      </c>
      <c r="B9" s="66" t="inlineStr">
        <is>
          <t>TechParts Solutions</t>
        </is>
      </c>
      <c r="C9" s="62" t="inlineStr">
        <is>
          <t>Logistics</t>
        </is>
      </c>
      <c r="D9" s="67" t="inlineStr">
        <is>
          <t>6100</t>
        </is>
      </c>
      <c r="E9" s="62" t="inlineStr">
        <is>
          <t>PO-2026-5658</t>
        </is>
      </c>
      <c r="F9" s="68" t="n">
        <v>81021.60000000001</v>
      </c>
    </row>
    <row r="10" ht="15" customHeight="1">
      <c r="A10" s="62" t="inlineStr">
        <is>
          <t>2026-02</t>
        </is>
      </c>
      <c r="B10" s="66" t="inlineStr">
        <is>
          <t>TechParts Solutions</t>
        </is>
      </c>
      <c r="C10" s="62" t="inlineStr">
        <is>
          <t>Logistics</t>
        </is>
      </c>
      <c r="D10" s="67" t="inlineStr">
        <is>
          <t>6100</t>
        </is>
      </c>
      <c r="E10" s="62" t="inlineStr">
        <is>
          <t>PO-2026-8216</t>
        </is>
      </c>
      <c r="F10" s="68" t="n">
        <v>64291.77</v>
      </c>
    </row>
    <row r="11" ht="15" customHeight="1">
      <c r="A11" s="62" t="inlineStr">
        <is>
          <t>2026-03</t>
        </is>
      </c>
      <c r="B11" s="66" t="inlineStr">
        <is>
          <t>TechParts Solutions</t>
        </is>
      </c>
      <c r="C11" s="62" t="inlineStr">
        <is>
          <t>Logistics</t>
        </is>
      </c>
      <c r="D11" s="67" t="inlineStr">
        <is>
          <t>6100</t>
        </is>
      </c>
      <c r="E11" s="62" t="inlineStr">
        <is>
          <t>PO-2026-1841</t>
        </is>
      </c>
      <c r="F11" s="68" t="n">
        <v>52822.19</v>
      </c>
    </row>
    <row r="12" ht="15" customHeight="1">
      <c r="A12" s="62" t="inlineStr">
        <is>
          <t>2026-04</t>
        </is>
      </c>
      <c r="B12" s="66" t="inlineStr">
        <is>
          <t>TechParts Solutions</t>
        </is>
      </c>
      <c r="C12" s="62" t="inlineStr">
        <is>
          <t>Logistics</t>
        </is>
      </c>
      <c r="D12" s="67" t="inlineStr">
        <is>
          <t>6100</t>
        </is>
      </c>
      <c r="E12" s="62" t="inlineStr">
        <is>
          <t>PO-2026-8827</t>
        </is>
      </c>
      <c r="F12" s="68" t="n">
        <v>34831.33</v>
      </c>
    </row>
    <row r="13" ht="15" customHeight="1">
      <c r="A13" s="62" t="inlineStr">
        <is>
          <t>2026-05</t>
        </is>
      </c>
      <c r="B13" s="66" t="inlineStr">
        <is>
          <t>TechParts Solutions</t>
        </is>
      </c>
      <c r="C13" s="62" t="inlineStr">
        <is>
          <t>Logistics</t>
        </is>
      </c>
      <c r="D13" s="67" t="inlineStr">
        <is>
          <t>6100</t>
        </is>
      </c>
      <c r="E13" s="62" t="inlineStr">
        <is>
          <t>PO-2026-2070</t>
        </is>
      </c>
      <c r="F13" s="68" t="n">
        <v>72091.97</v>
      </c>
    </row>
    <row r="14" ht="15" customHeight="1">
      <c r="A14" s="62" t="inlineStr">
        <is>
          <t>2026-06</t>
        </is>
      </c>
      <c r="B14" s="66" t="inlineStr">
        <is>
          <t>TechParts Solutions</t>
        </is>
      </c>
      <c r="C14" s="62" t="inlineStr">
        <is>
          <t>Logistics</t>
        </is>
      </c>
      <c r="D14" s="67" t="inlineStr">
        <is>
          <t>6100</t>
        </is>
      </c>
      <c r="E14" s="62" t="inlineStr">
        <is>
          <t>PO-2026-2213</t>
        </is>
      </c>
      <c r="F14" s="68" t="n">
        <v>95012.75</v>
      </c>
    </row>
    <row r="15" ht="15" customHeight="1">
      <c r="A15" s="62" t="inlineStr">
        <is>
          <t>2026-07</t>
        </is>
      </c>
      <c r="B15" s="66" t="inlineStr">
        <is>
          <t>TechParts Solutions</t>
        </is>
      </c>
      <c r="C15" s="62" t="inlineStr">
        <is>
          <t>Logistics</t>
        </is>
      </c>
      <c r="D15" s="67" t="inlineStr">
        <is>
          <t>6100</t>
        </is>
      </c>
      <c r="E15" s="62" t="inlineStr">
        <is>
          <t>PO-2026-1878</t>
        </is>
      </c>
      <c r="F15" s="68" t="n">
        <v>39724.51</v>
      </c>
    </row>
    <row r="16" ht="15" customHeight="1">
      <c r="A16" s="62" t="inlineStr">
        <is>
          <t>2026-01</t>
        </is>
      </c>
      <c r="B16" s="66" t="inlineStr">
        <is>
          <t>Global Freight NL</t>
        </is>
      </c>
      <c r="C16" s="62" t="inlineStr">
        <is>
          <t>HR</t>
        </is>
      </c>
      <c r="D16" s="67" t="inlineStr">
        <is>
          <t>6500</t>
        </is>
      </c>
      <c r="E16" s="62" t="inlineStr">
        <is>
          <t>PO-2026-2395</t>
        </is>
      </c>
      <c r="F16" s="68" t="n">
        <v>149209.36</v>
      </c>
    </row>
    <row r="17" ht="15" customHeight="1">
      <c r="A17" s="62" t="inlineStr">
        <is>
          <t>2026-02</t>
        </is>
      </c>
      <c r="B17" s="66" t="inlineStr">
        <is>
          <t>Global Freight NL</t>
        </is>
      </c>
      <c r="C17" s="62" t="inlineStr">
        <is>
          <t>HR</t>
        </is>
      </c>
      <c r="D17" s="67" t="inlineStr">
        <is>
          <t>6500</t>
        </is>
      </c>
      <c r="E17" s="62" t="inlineStr">
        <is>
          <t>PO-2026-2940</t>
        </is>
      </c>
      <c r="F17" s="68" t="n">
        <v>92549.49000000001</v>
      </c>
    </row>
    <row r="18" ht="15" customHeight="1">
      <c r="A18" s="62" t="inlineStr">
        <is>
          <t>2026-03</t>
        </is>
      </c>
      <c r="B18" s="66" t="inlineStr">
        <is>
          <t>Global Freight NL</t>
        </is>
      </c>
      <c r="C18" s="62" t="inlineStr">
        <is>
          <t>HR</t>
        </is>
      </c>
      <c r="D18" s="67" t="inlineStr">
        <is>
          <t>6500</t>
        </is>
      </c>
      <c r="E18" s="62" t="inlineStr">
        <is>
          <t>PO-2026-7818</t>
        </is>
      </c>
      <c r="F18" s="68" t="n">
        <v>98821.28999999999</v>
      </c>
    </row>
    <row r="19" ht="15" customHeight="1">
      <c r="A19" s="62" t="inlineStr">
        <is>
          <t>2026-04</t>
        </is>
      </c>
      <c r="B19" s="66" t="inlineStr">
        <is>
          <t>Global Freight NL</t>
        </is>
      </c>
      <c r="C19" s="62" t="inlineStr">
        <is>
          <t>HR</t>
        </is>
      </c>
      <c r="D19" s="67" t="inlineStr">
        <is>
          <t>6500</t>
        </is>
      </c>
      <c r="E19" s="62" t="inlineStr">
        <is>
          <t>PO-2026-4697</t>
        </is>
      </c>
      <c r="F19" s="68" t="n">
        <v>120840.16</v>
      </c>
    </row>
    <row r="20" ht="15" customHeight="1">
      <c r="A20" s="62" t="inlineStr">
        <is>
          <t>2026-05</t>
        </is>
      </c>
      <c r="B20" s="66" t="inlineStr">
        <is>
          <t>Global Freight NL</t>
        </is>
      </c>
      <c r="C20" s="62" t="inlineStr">
        <is>
          <t>HR</t>
        </is>
      </c>
      <c r="D20" s="67" t="inlineStr">
        <is>
          <t>6500</t>
        </is>
      </c>
      <c r="E20" s="62" t="inlineStr">
        <is>
          <t>PO-2026-7232</t>
        </is>
      </c>
      <c r="F20" s="68" t="n">
        <v>78566.88</v>
      </c>
    </row>
    <row r="21" ht="15" customHeight="1">
      <c r="A21" s="62" t="inlineStr">
        <is>
          <t>2026-06</t>
        </is>
      </c>
      <c r="B21" s="66" t="inlineStr">
        <is>
          <t>Global Freight NL</t>
        </is>
      </c>
      <c r="C21" s="62" t="inlineStr">
        <is>
          <t>HR</t>
        </is>
      </c>
      <c r="D21" s="67" t="inlineStr">
        <is>
          <t>6500</t>
        </is>
      </c>
      <c r="E21" s="62" t="inlineStr">
        <is>
          <t>PO-2026-8253</t>
        </is>
      </c>
      <c r="F21" s="68" t="n">
        <v>58655.91</v>
      </c>
    </row>
    <row r="22" ht="15" customHeight="1">
      <c r="A22" s="62" t="inlineStr">
        <is>
          <t>2026-07</t>
        </is>
      </c>
      <c r="B22" s="66" t="inlineStr">
        <is>
          <t>Global Freight NL</t>
        </is>
      </c>
      <c r="C22" s="62" t="inlineStr">
        <is>
          <t>HR</t>
        </is>
      </c>
      <c r="D22" s="67" t="inlineStr">
        <is>
          <t>6500</t>
        </is>
      </c>
      <c r="E22" s="62" t="inlineStr">
        <is>
          <t>PO-2026-8025</t>
        </is>
      </c>
      <c r="F22" s="68" t="n">
        <v>59699.43</v>
      </c>
    </row>
    <row r="23" ht="15" customHeight="1">
      <c r="A23" s="62" t="inlineStr">
        <is>
          <t>2026-01</t>
        </is>
      </c>
      <c r="B23" s="66" t="inlineStr">
        <is>
          <t>OfficePlus Nederland</t>
        </is>
      </c>
      <c r="C23" s="62" t="inlineStr">
        <is>
          <t>Logistics</t>
        </is>
      </c>
      <c r="D23" s="67" t="inlineStr">
        <is>
          <t>6100</t>
        </is>
      </c>
      <c r="E23" s="62" t="inlineStr">
        <is>
          <t>PO-2026-2625</t>
        </is>
      </c>
      <c r="F23" s="68" t="n">
        <v>143186.73</v>
      </c>
    </row>
    <row r="24" ht="15" customHeight="1">
      <c r="A24" s="62" t="inlineStr">
        <is>
          <t>2026-02</t>
        </is>
      </c>
      <c r="B24" s="66" t="inlineStr">
        <is>
          <t>OfficePlus Nederland</t>
        </is>
      </c>
      <c r="C24" s="62" t="inlineStr">
        <is>
          <t>Logistics</t>
        </is>
      </c>
      <c r="D24" s="67" t="inlineStr">
        <is>
          <t>6100</t>
        </is>
      </c>
      <c r="E24" s="62" t="inlineStr">
        <is>
          <t>PO-2026-4404</t>
        </is>
      </c>
      <c r="F24" s="68" t="n">
        <v>101316.95</v>
      </c>
    </row>
    <row r="25" ht="15" customHeight="1">
      <c r="A25" s="62" t="inlineStr">
        <is>
          <t>2026-03</t>
        </is>
      </c>
      <c r="B25" s="66" t="inlineStr">
        <is>
          <t>OfficePlus Nederland</t>
        </is>
      </c>
      <c r="C25" s="62" t="inlineStr">
        <is>
          <t>Logistics</t>
        </is>
      </c>
      <c r="D25" s="67" t="inlineStr">
        <is>
          <t>6100</t>
        </is>
      </c>
      <c r="E25" s="62" t="inlineStr">
        <is>
          <t>PO-2026-5335</t>
        </is>
      </c>
      <c r="F25" s="68" t="n">
        <v>105855.66</v>
      </c>
    </row>
    <row r="26" ht="15" customHeight="1">
      <c r="A26" s="62" t="inlineStr">
        <is>
          <t>2026-04</t>
        </is>
      </c>
      <c r="B26" s="66" t="inlineStr">
        <is>
          <t>OfficePlus Nederland</t>
        </is>
      </c>
      <c r="C26" s="62" t="inlineStr">
        <is>
          <t>Logistics</t>
        </is>
      </c>
      <c r="D26" s="67" t="inlineStr">
        <is>
          <t>6100</t>
        </is>
      </c>
      <c r="E26" s="62" t="inlineStr">
        <is>
          <t>PO-2026-3573</t>
        </is>
      </c>
      <c r="F26" s="68" t="n">
        <v>51182.47</v>
      </c>
    </row>
    <row r="27" ht="15" customHeight="1">
      <c r="A27" s="62" t="inlineStr">
        <is>
          <t>2026-05</t>
        </is>
      </c>
      <c r="B27" s="66" t="inlineStr">
        <is>
          <t>OfficePlus Nederland</t>
        </is>
      </c>
      <c r="C27" s="62" t="inlineStr">
        <is>
          <t>Logistics</t>
        </is>
      </c>
      <c r="D27" s="67" t="inlineStr">
        <is>
          <t>6100</t>
        </is>
      </c>
      <c r="E27" s="62" t="inlineStr">
        <is>
          <t>PO-2026-2229</t>
        </is>
      </c>
      <c r="F27" s="68" t="n">
        <v>40349.24</v>
      </c>
    </row>
    <row r="28" ht="15" customHeight="1">
      <c r="A28" s="62" t="inlineStr">
        <is>
          <t>2026-06</t>
        </is>
      </c>
      <c r="B28" s="66" t="inlineStr">
        <is>
          <t>OfficePlus Nederland</t>
        </is>
      </c>
      <c r="C28" s="62" t="inlineStr">
        <is>
          <t>Logistics</t>
        </is>
      </c>
      <c r="D28" s="67" t="inlineStr">
        <is>
          <t>6100</t>
        </is>
      </c>
      <c r="E28" s="62" t="inlineStr">
        <is>
          <t>PO-2026-7693</t>
        </is>
      </c>
      <c r="F28" s="68" t="n">
        <v>78565.48</v>
      </c>
    </row>
    <row r="29" ht="15" customHeight="1">
      <c r="A29" s="62" t="inlineStr">
        <is>
          <t>2026-07</t>
        </is>
      </c>
      <c r="B29" s="66" t="inlineStr">
        <is>
          <t>OfficePlus Nederland</t>
        </is>
      </c>
      <c r="C29" s="62" t="inlineStr">
        <is>
          <t>Logistics</t>
        </is>
      </c>
      <c r="D29" s="67" t="inlineStr">
        <is>
          <t>6100</t>
        </is>
      </c>
      <c r="E29" s="62" t="inlineStr">
        <is>
          <t>PO-2026-8699</t>
        </is>
      </c>
      <c r="F29" s="68" t="n">
        <v>57863.71</v>
      </c>
    </row>
    <row r="30" ht="15" customHeight="1">
      <c r="A30" s="62" t="inlineStr">
        <is>
          <t>2026-01</t>
        </is>
      </c>
      <c r="B30" s="66" t="inlineStr">
        <is>
          <t>CleanServ BV</t>
        </is>
      </c>
      <c r="C30" s="62" t="inlineStr">
        <is>
          <t>Consulting</t>
        </is>
      </c>
      <c r="D30" s="67" t="inlineStr">
        <is>
          <t>6400</t>
        </is>
      </c>
      <c r="E30" s="62" t="inlineStr">
        <is>
          <t>PO-2026-5720</t>
        </is>
      </c>
      <c r="F30" s="68" t="n">
        <v>111904.26</v>
      </c>
    </row>
    <row r="31" ht="15" customHeight="1">
      <c r="A31" s="62" t="inlineStr">
        <is>
          <t>2026-02</t>
        </is>
      </c>
      <c r="B31" s="66" t="inlineStr">
        <is>
          <t>CleanServ BV</t>
        </is>
      </c>
      <c r="C31" s="62" t="inlineStr">
        <is>
          <t>Consulting</t>
        </is>
      </c>
      <c r="D31" s="67" t="inlineStr">
        <is>
          <t>6400</t>
        </is>
      </c>
      <c r="E31" s="62" t="inlineStr">
        <is>
          <t>PO-2026-8438</t>
        </is>
      </c>
      <c r="F31" s="68" t="n">
        <v>29253.37</v>
      </c>
    </row>
    <row r="32" ht="15" customHeight="1">
      <c r="A32" s="62" t="inlineStr">
        <is>
          <t>2026-03</t>
        </is>
      </c>
      <c r="B32" s="66" t="inlineStr">
        <is>
          <t>CleanServ BV</t>
        </is>
      </c>
      <c r="C32" s="62" t="inlineStr">
        <is>
          <t>Consulting</t>
        </is>
      </c>
      <c r="D32" s="67" t="inlineStr">
        <is>
          <t>6400</t>
        </is>
      </c>
      <c r="E32" s="62" t="inlineStr">
        <is>
          <t>PO-2026-4824</t>
        </is>
      </c>
      <c r="F32" s="68" t="n">
        <v>140108.44</v>
      </c>
    </row>
    <row r="33" ht="15" customHeight="1">
      <c r="A33" s="62" t="inlineStr">
        <is>
          <t>2026-04</t>
        </is>
      </c>
      <c r="B33" s="66" t="inlineStr">
        <is>
          <t>CleanServ BV</t>
        </is>
      </c>
      <c r="C33" s="62" t="inlineStr">
        <is>
          <t>Consulting</t>
        </is>
      </c>
      <c r="D33" s="67" t="inlineStr">
        <is>
          <t>6400</t>
        </is>
      </c>
      <c r="E33" s="62" t="inlineStr">
        <is>
          <t>PO-2026-4241</t>
        </is>
      </c>
      <c r="F33" s="68" t="n">
        <v>75268.07000000001</v>
      </c>
    </row>
    <row r="34" ht="15" customHeight="1">
      <c r="A34" s="62" t="inlineStr">
        <is>
          <t>2026-05</t>
        </is>
      </c>
      <c r="B34" s="66" t="inlineStr">
        <is>
          <t>CleanServ BV</t>
        </is>
      </c>
      <c r="C34" s="62" t="inlineStr">
        <is>
          <t>Consulting</t>
        </is>
      </c>
      <c r="D34" s="67" t="inlineStr">
        <is>
          <t>6400</t>
        </is>
      </c>
      <c r="E34" s="62" t="inlineStr">
        <is>
          <t>PO-2026-9922</t>
        </is>
      </c>
      <c r="F34" s="68" t="n">
        <v>49225.23</v>
      </c>
    </row>
    <row r="35" ht="15" customHeight="1">
      <c r="A35" s="62" t="inlineStr">
        <is>
          <t>2026-06</t>
        </is>
      </c>
      <c r="B35" s="66" t="inlineStr">
        <is>
          <t>CleanServ BV</t>
        </is>
      </c>
      <c r="C35" s="62" t="inlineStr">
        <is>
          <t>Consulting</t>
        </is>
      </c>
      <c r="D35" s="67" t="inlineStr">
        <is>
          <t>6400</t>
        </is>
      </c>
      <c r="E35" s="62" t="inlineStr">
        <is>
          <t>PO-2026-3441</t>
        </is>
      </c>
      <c r="F35" s="68" t="n">
        <v>138093.49</v>
      </c>
    </row>
    <row r="36" ht="15" customHeight="1">
      <c r="A36" s="62" t="inlineStr">
        <is>
          <t>2026-07</t>
        </is>
      </c>
      <c r="B36" s="66" t="inlineStr">
        <is>
          <t>CleanServ BV</t>
        </is>
      </c>
      <c r="C36" s="62" t="inlineStr">
        <is>
          <t>Consulting</t>
        </is>
      </c>
      <c r="D36" s="67" t="inlineStr">
        <is>
          <t>6400</t>
        </is>
      </c>
      <c r="E36" s="62" t="inlineStr">
        <is>
          <t>PO-2026-3330</t>
        </is>
      </c>
      <c r="F36" s="68" t="n">
        <v>29283.28</v>
      </c>
    </row>
    <row r="37" ht="15" customHeight="1">
      <c r="A37" s="62" t="inlineStr">
        <is>
          <t>2026-01</t>
        </is>
      </c>
      <c r="B37" s="66" t="inlineStr">
        <is>
          <t>ITware Group</t>
        </is>
      </c>
      <c r="C37" s="62" t="inlineStr">
        <is>
          <t>Facilities</t>
        </is>
      </c>
      <c r="D37" s="67" t="inlineStr">
        <is>
          <t>6300</t>
        </is>
      </c>
      <c r="E37" s="62" t="inlineStr">
        <is>
          <t>PO-2026-6039</t>
        </is>
      </c>
      <c r="F37" s="68" t="n">
        <v>97355.72</v>
      </c>
    </row>
    <row r="38" ht="15" customHeight="1">
      <c r="A38" s="62" t="inlineStr">
        <is>
          <t>2026-02</t>
        </is>
      </c>
      <c r="B38" s="66" t="inlineStr">
        <is>
          <t>ITware Group</t>
        </is>
      </c>
      <c r="C38" s="62" t="inlineStr">
        <is>
          <t>Facilities</t>
        </is>
      </c>
      <c r="D38" s="67" t="inlineStr">
        <is>
          <t>6300</t>
        </is>
      </c>
      <c r="E38" s="62" t="inlineStr">
        <is>
          <t>PO-2026-5728</t>
        </is>
      </c>
      <c r="F38" s="68" t="n">
        <v>77089.95</v>
      </c>
    </row>
    <row r="39" ht="15" customHeight="1">
      <c r="A39" s="62" t="inlineStr">
        <is>
          <t>2026-03</t>
        </is>
      </c>
      <c r="B39" s="66" t="inlineStr">
        <is>
          <t>ITware Group</t>
        </is>
      </c>
      <c r="C39" s="62" t="inlineStr">
        <is>
          <t>Facilities</t>
        </is>
      </c>
      <c r="D39" s="67" t="inlineStr">
        <is>
          <t>6300</t>
        </is>
      </c>
      <c r="E39" s="62" t="inlineStr">
        <is>
          <t>PO-2026-8679</t>
        </is>
      </c>
      <c r="F39" s="68" t="n">
        <v>109528.14</v>
      </c>
    </row>
    <row r="40" ht="15" customHeight="1">
      <c r="A40" s="62" t="inlineStr">
        <is>
          <t>2026-04</t>
        </is>
      </c>
      <c r="B40" s="66" t="inlineStr">
        <is>
          <t>ITware Group</t>
        </is>
      </c>
      <c r="C40" s="62" t="inlineStr">
        <is>
          <t>Facilities</t>
        </is>
      </c>
      <c r="D40" s="67" t="inlineStr">
        <is>
          <t>6300</t>
        </is>
      </c>
      <c r="E40" s="62" t="inlineStr">
        <is>
          <t>PO-2026-7594</t>
        </is>
      </c>
      <c r="F40" s="68" t="n">
        <v>142547.91</v>
      </c>
    </row>
    <row r="41" ht="15" customHeight="1">
      <c r="A41" s="62" t="inlineStr">
        <is>
          <t>2026-05</t>
        </is>
      </c>
      <c r="B41" s="66" t="inlineStr">
        <is>
          <t>ITware Group</t>
        </is>
      </c>
      <c r="C41" s="62" t="inlineStr">
        <is>
          <t>Facilities</t>
        </is>
      </c>
      <c r="D41" s="67" t="inlineStr">
        <is>
          <t>6300</t>
        </is>
      </c>
      <c r="E41" s="62" t="inlineStr">
        <is>
          <t>PO-2026-9199</t>
        </is>
      </c>
      <c r="F41" s="68" t="n">
        <v>90197.60000000001</v>
      </c>
    </row>
    <row r="42" ht="15" customHeight="1">
      <c r="A42" s="62" t="inlineStr">
        <is>
          <t>2026-06</t>
        </is>
      </c>
      <c r="B42" s="66" t="inlineStr">
        <is>
          <t>ITware Group</t>
        </is>
      </c>
      <c r="C42" s="62" t="inlineStr">
        <is>
          <t>Facilities</t>
        </is>
      </c>
      <c r="D42" s="67" t="inlineStr">
        <is>
          <t>6300</t>
        </is>
      </c>
      <c r="E42" s="62" t="inlineStr">
        <is>
          <t>PO-2026-8172</t>
        </is>
      </c>
      <c r="F42" s="68" t="n">
        <v>30457.44</v>
      </c>
    </row>
    <row r="43" ht="15" customHeight="1">
      <c r="A43" s="62" t="inlineStr">
        <is>
          <t>2026-07</t>
        </is>
      </c>
      <c r="B43" s="66" t="inlineStr">
        <is>
          <t>ITware Group</t>
        </is>
      </c>
      <c r="C43" s="62" t="inlineStr">
        <is>
          <t>Facilities</t>
        </is>
      </c>
      <c r="D43" s="67" t="inlineStr">
        <is>
          <t>6300</t>
        </is>
      </c>
      <c r="E43" s="62" t="inlineStr">
        <is>
          <t>PO-2026-1653</t>
        </is>
      </c>
      <c r="F43" s="68" t="n">
        <v>135624.98</v>
      </c>
    </row>
    <row r="44" ht="15" customHeight="1">
      <c r="A44" s="62" t="inlineStr">
        <is>
          <t>2026-01</t>
        </is>
      </c>
      <c r="B44" s="66" t="inlineStr">
        <is>
          <t>Alpha Consulting</t>
        </is>
      </c>
      <c r="C44" s="62" t="inlineStr">
        <is>
          <t>Marketing</t>
        </is>
      </c>
      <c r="D44" s="67" t="inlineStr">
        <is>
          <t>6600</t>
        </is>
      </c>
      <c r="E44" s="62" t="inlineStr">
        <is>
          <t>PO-2026-5102</t>
        </is>
      </c>
      <c r="F44" s="68" t="n">
        <v>23362.44</v>
      </c>
    </row>
    <row r="45" ht="15" customHeight="1">
      <c r="A45" s="62" t="inlineStr">
        <is>
          <t>2026-02</t>
        </is>
      </c>
      <c r="B45" s="66" t="inlineStr">
        <is>
          <t>Alpha Consulting</t>
        </is>
      </c>
      <c r="C45" s="62" t="inlineStr">
        <is>
          <t>Marketing</t>
        </is>
      </c>
      <c r="D45" s="67" t="inlineStr">
        <is>
          <t>6600</t>
        </is>
      </c>
      <c r="E45" s="62" t="inlineStr">
        <is>
          <t>PO-2026-4750</t>
        </is>
      </c>
      <c r="F45" s="68" t="n">
        <v>145048.44</v>
      </c>
    </row>
    <row r="46" ht="15" customHeight="1">
      <c r="A46" s="62" t="inlineStr">
        <is>
          <t>2026-03</t>
        </is>
      </c>
      <c r="B46" s="66" t="inlineStr">
        <is>
          <t>Alpha Consulting</t>
        </is>
      </c>
      <c r="C46" s="62" t="inlineStr">
        <is>
          <t>Marketing</t>
        </is>
      </c>
      <c r="D46" s="67" t="inlineStr">
        <is>
          <t>6600</t>
        </is>
      </c>
      <c r="E46" s="62" t="inlineStr">
        <is>
          <t>PO-2026-1339</t>
        </is>
      </c>
      <c r="F46" s="68" t="n">
        <v>149944.41</v>
      </c>
    </row>
    <row r="47" ht="15" customHeight="1">
      <c r="A47" s="62" t="inlineStr">
        <is>
          <t>2026-04</t>
        </is>
      </c>
      <c r="B47" s="66" t="inlineStr">
        <is>
          <t>Alpha Consulting</t>
        </is>
      </c>
      <c r="C47" s="62" t="inlineStr">
        <is>
          <t>Marketing</t>
        </is>
      </c>
      <c r="D47" s="67" t="inlineStr">
        <is>
          <t>6600</t>
        </is>
      </c>
      <c r="E47" s="62" t="inlineStr">
        <is>
          <t>PO-2026-5415</t>
        </is>
      </c>
      <c r="F47" s="68" t="n">
        <v>94912.11</v>
      </c>
    </row>
    <row r="48" ht="15" customHeight="1">
      <c r="A48" s="62" t="inlineStr">
        <is>
          <t>2026-05</t>
        </is>
      </c>
      <c r="B48" s="66" t="inlineStr">
        <is>
          <t>Alpha Consulting</t>
        </is>
      </c>
      <c r="C48" s="62" t="inlineStr">
        <is>
          <t>Marketing</t>
        </is>
      </c>
      <c r="D48" s="67" t="inlineStr">
        <is>
          <t>6600</t>
        </is>
      </c>
      <c r="E48" s="62" t="inlineStr">
        <is>
          <t>PO-2026-3870</t>
        </is>
      </c>
      <c r="F48" s="68" t="n">
        <v>81165.11</v>
      </c>
    </row>
    <row r="49" ht="15" customHeight="1">
      <c r="A49" s="62" t="inlineStr">
        <is>
          <t>2026-06</t>
        </is>
      </c>
      <c r="B49" s="66" t="inlineStr">
        <is>
          <t>Alpha Consulting</t>
        </is>
      </c>
      <c r="C49" s="62" t="inlineStr">
        <is>
          <t>Marketing</t>
        </is>
      </c>
      <c r="D49" s="67" t="inlineStr">
        <is>
          <t>6600</t>
        </is>
      </c>
      <c r="E49" s="62" t="inlineStr">
        <is>
          <t>PO-2026-8245</t>
        </is>
      </c>
      <c r="F49" s="68" t="n">
        <v>139089.46</v>
      </c>
    </row>
    <row r="50" ht="15" customHeight="1">
      <c r="A50" s="62" t="inlineStr">
        <is>
          <t>2026-07</t>
        </is>
      </c>
      <c r="B50" s="66" t="inlineStr">
        <is>
          <t>Alpha Consulting</t>
        </is>
      </c>
      <c r="C50" s="62" t="inlineStr">
        <is>
          <t>Marketing</t>
        </is>
      </c>
      <c r="D50" s="67" t="inlineStr">
        <is>
          <t>6600</t>
        </is>
      </c>
      <c r="E50" s="62" t="inlineStr">
        <is>
          <t>PO-2026-3973</t>
        </is>
      </c>
      <c r="F50" s="68" t="n">
        <v>149602.91</v>
      </c>
    </row>
    <row r="51" ht="15" customHeight="1">
      <c r="A51" s="62" t="inlineStr">
        <is>
          <t>2026-01</t>
        </is>
      </c>
      <c r="B51" s="66" t="inlineStr">
        <is>
          <t>Prime Maintenance Co</t>
        </is>
      </c>
      <c r="C51" s="62" t="inlineStr">
        <is>
          <t>Office</t>
        </is>
      </c>
      <c r="D51" s="67" t="inlineStr">
        <is>
          <t>6700</t>
        </is>
      </c>
      <c r="E51" s="62" t="inlineStr">
        <is>
          <t>PO-2026-9056</t>
        </is>
      </c>
      <c r="F51" s="68" t="n">
        <v>145977.18</v>
      </c>
    </row>
    <row r="52" ht="15" customHeight="1">
      <c r="A52" s="62" t="inlineStr">
        <is>
          <t>2026-02</t>
        </is>
      </c>
      <c r="B52" s="66" t="inlineStr">
        <is>
          <t>Prime Maintenance Co</t>
        </is>
      </c>
      <c r="C52" s="62" t="inlineStr">
        <is>
          <t>Office</t>
        </is>
      </c>
      <c r="D52" s="67" t="inlineStr">
        <is>
          <t>6700</t>
        </is>
      </c>
      <c r="E52" s="62" t="inlineStr">
        <is>
          <t>PO-2026-8700</t>
        </is>
      </c>
      <c r="F52" s="68" t="n">
        <v>65234.94</v>
      </c>
    </row>
    <row r="53" ht="15" customHeight="1">
      <c r="A53" s="62" t="inlineStr">
        <is>
          <t>2026-03</t>
        </is>
      </c>
      <c r="B53" s="66" t="inlineStr">
        <is>
          <t>Prime Maintenance Co</t>
        </is>
      </c>
      <c r="C53" s="62" t="inlineStr">
        <is>
          <t>Office</t>
        </is>
      </c>
      <c r="D53" s="67" t="inlineStr">
        <is>
          <t>6700</t>
        </is>
      </c>
      <c r="E53" s="62" t="inlineStr">
        <is>
          <t>PO-2026-6460</t>
        </is>
      </c>
      <c r="F53" s="68" t="n">
        <v>61737.57</v>
      </c>
    </row>
    <row r="54" ht="15" customHeight="1">
      <c r="A54" s="62" t="inlineStr">
        <is>
          <t>2026-04</t>
        </is>
      </c>
      <c r="B54" s="66" t="inlineStr">
        <is>
          <t>Prime Maintenance Co</t>
        </is>
      </c>
      <c r="C54" s="62" t="inlineStr">
        <is>
          <t>Office</t>
        </is>
      </c>
      <c r="D54" s="67" t="inlineStr">
        <is>
          <t>6700</t>
        </is>
      </c>
      <c r="E54" s="62" t="inlineStr">
        <is>
          <t>PO-2026-2713</t>
        </is>
      </c>
      <c r="F54" s="68" t="n">
        <v>131505.3</v>
      </c>
    </row>
    <row r="55" ht="15" customHeight="1">
      <c r="A55" s="62" t="inlineStr">
        <is>
          <t>2026-05</t>
        </is>
      </c>
      <c r="B55" s="66" t="inlineStr">
        <is>
          <t>Prime Maintenance Co</t>
        </is>
      </c>
      <c r="C55" s="62" t="inlineStr">
        <is>
          <t>Office</t>
        </is>
      </c>
      <c r="D55" s="67" t="inlineStr">
        <is>
          <t>6700</t>
        </is>
      </c>
      <c r="E55" s="62" t="inlineStr">
        <is>
          <t>PO-2026-6403</t>
        </is>
      </c>
      <c r="F55" s="68" t="n">
        <v>73513.86</v>
      </c>
    </row>
    <row r="56" ht="15" customHeight="1">
      <c r="A56" s="62" t="inlineStr">
        <is>
          <t>2026-06</t>
        </is>
      </c>
      <c r="B56" s="66" t="inlineStr">
        <is>
          <t>Prime Maintenance Co</t>
        </is>
      </c>
      <c r="C56" s="62" t="inlineStr">
        <is>
          <t>Office</t>
        </is>
      </c>
      <c r="D56" s="67" t="inlineStr">
        <is>
          <t>6700</t>
        </is>
      </c>
      <c r="E56" s="62" t="inlineStr">
        <is>
          <t>PO-2026-9117</t>
        </is>
      </c>
      <c r="F56" s="68" t="n">
        <v>57468.31</v>
      </c>
    </row>
    <row r="57" ht="15" customHeight="1">
      <c r="A57" s="62" t="inlineStr">
        <is>
          <t>2026-07</t>
        </is>
      </c>
      <c r="B57" s="66" t="inlineStr">
        <is>
          <t>Prime Maintenance Co</t>
        </is>
      </c>
      <c r="C57" s="62" t="inlineStr">
        <is>
          <t>Office</t>
        </is>
      </c>
      <c r="D57" s="67" t="inlineStr">
        <is>
          <t>6700</t>
        </is>
      </c>
      <c r="E57" s="62" t="inlineStr">
        <is>
          <t>PO-2026-7561</t>
        </is>
      </c>
      <c r="F57" s="68" t="n">
        <v>125763.58</v>
      </c>
    </row>
    <row r="58" ht="15" customHeight="1">
      <c r="A58" s="62" t="inlineStr">
        <is>
          <t>2026-01</t>
        </is>
      </c>
      <c r="B58" s="66" t="inlineStr">
        <is>
          <t>Retail Display Systems</t>
        </is>
      </c>
      <c r="C58" s="62" t="inlineStr">
        <is>
          <t>Logistics</t>
        </is>
      </c>
      <c r="D58" s="67" t="inlineStr">
        <is>
          <t>6100</t>
        </is>
      </c>
      <c r="E58" s="62" t="inlineStr">
        <is>
          <t>PO-2026-8451</t>
        </is>
      </c>
      <c r="F58" s="68" t="n">
        <v>31447.77</v>
      </c>
    </row>
    <row r="59" ht="15" customHeight="1">
      <c r="A59" s="62" t="inlineStr">
        <is>
          <t>2026-02</t>
        </is>
      </c>
      <c r="B59" s="66" t="inlineStr">
        <is>
          <t>Retail Display Systems</t>
        </is>
      </c>
      <c r="C59" s="62" t="inlineStr">
        <is>
          <t>Logistics</t>
        </is>
      </c>
      <c r="D59" s="67" t="inlineStr">
        <is>
          <t>6100</t>
        </is>
      </c>
      <c r="E59" s="62" t="inlineStr">
        <is>
          <t>PO-2026-5135</t>
        </is>
      </c>
      <c r="F59" s="68" t="n">
        <v>62025.59</v>
      </c>
    </row>
    <row r="60" ht="15" customHeight="1">
      <c r="A60" s="62" t="inlineStr">
        <is>
          <t>2026-03</t>
        </is>
      </c>
      <c r="B60" s="66" t="inlineStr">
        <is>
          <t>Retail Display Systems</t>
        </is>
      </c>
      <c r="C60" s="62" t="inlineStr">
        <is>
          <t>Logistics</t>
        </is>
      </c>
      <c r="D60" s="67" t="inlineStr">
        <is>
          <t>6100</t>
        </is>
      </c>
      <c r="E60" s="62" t="inlineStr">
        <is>
          <t>PO-2026-7622</t>
        </is>
      </c>
      <c r="F60" s="68" t="n">
        <v>132438.38</v>
      </c>
    </row>
    <row r="61" ht="15" customHeight="1">
      <c r="A61" s="62" t="inlineStr">
        <is>
          <t>2026-04</t>
        </is>
      </c>
      <c r="B61" s="66" t="inlineStr">
        <is>
          <t>Retail Display Systems</t>
        </is>
      </c>
      <c r="C61" s="62" t="inlineStr">
        <is>
          <t>Logistics</t>
        </is>
      </c>
      <c r="D61" s="67" t="inlineStr">
        <is>
          <t>6100</t>
        </is>
      </c>
      <c r="E61" s="62" t="inlineStr">
        <is>
          <t>PO-2026-1018</t>
        </is>
      </c>
      <c r="F61" s="68" t="n">
        <v>105495.85</v>
      </c>
    </row>
    <row r="62" ht="15" customHeight="1">
      <c r="A62" s="62" t="inlineStr">
        <is>
          <t>2026-05</t>
        </is>
      </c>
      <c r="B62" s="66" t="inlineStr">
        <is>
          <t>Retail Display Systems</t>
        </is>
      </c>
      <c r="C62" s="62" t="inlineStr">
        <is>
          <t>Logistics</t>
        </is>
      </c>
      <c r="D62" s="67" t="inlineStr">
        <is>
          <t>6100</t>
        </is>
      </c>
      <c r="E62" s="62" t="inlineStr">
        <is>
          <t>PO-2026-9889</t>
        </is>
      </c>
      <c r="F62" s="68" t="n">
        <v>80056.92</v>
      </c>
    </row>
    <row r="63" ht="15" customHeight="1">
      <c r="A63" s="62" t="inlineStr">
        <is>
          <t>2026-06</t>
        </is>
      </c>
      <c r="B63" s="66" t="inlineStr">
        <is>
          <t>Retail Display Systems</t>
        </is>
      </c>
      <c r="C63" s="62" t="inlineStr">
        <is>
          <t>Logistics</t>
        </is>
      </c>
      <c r="D63" s="67" t="inlineStr">
        <is>
          <t>6100</t>
        </is>
      </c>
      <c r="E63" s="62" t="inlineStr">
        <is>
          <t>PO-2026-1888</t>
        </is>
      </c>
      <c r="F63" s="68" t="n">
        <v>44385.73</v>
      </c>
    </row>
    <row r="64" ht="15" customHeight="1">
      <c r="A64" s="62" t="inlineStr">
        <is>
          <t>2026-07</t>
        </is>
      </c>
      <c r="B64" s="66" t="inlineStr">
        <is>
          <t>Retail Display Systems</t>
        </is>
      </c>
      <c r="C64" s="62" t="inlineStr">
        <is>
          <t>Logistics</t>
        </is>
      </c>
      <c r="D64" s="67" t="inlineStr">
        <is>
          <t>6100</t>
        </is>
      </c>
      <c r="E64" s="62" t="inlineStr">
        <is>
          <t>PO-2026-6927</t>
        </is>
      </c>
      <c r="F64" s="68" t="n">
        <v>100942.4</v>
      </c>
    </row>
    <row r="65" ht="15" customHeight="1">
      <c r="A65" s="62" t="inlineStr">
        <is>
          <t>2026-01</t>
        </is>
      </c>
      <c r="B65" s="66" t="inlineStr">
        <is>
          <t>HR Partners BV</t>
        </is>
      </c>
      <c r="C65" s="62" t="inlineStr">
        <is>
          <t>Maintenance</t>
        </is>
      </c>
      <c r="D65" s="67" t="inlineStr">
        <is>
          <t>6800</t>
        </is>
      </c>
      <c r="E65" s="62" t="inlineStr">
        <is>
          <t>PO-2026-8242</t>
        </is>
      </c>
      <c r="F65" s="68" t="n">
        <v>118798.77</v>
      </c>
    </row>
    <row r="66" ht="15" customHeight="1">
      <c r="A66" s="62" t="inlineStr">
        <is>
          <t>2026-02</t>
        </is>
      </c>
      <c r="B66" s="66" t="inlineStr">
        <is>
          <t>HR Partners BV</t>
        </is>
      </c>
      <c r="C66" s="62" t="inlineStr">
        <is>
          <t>Maintenance</t>
        </is>
      </c>
      <c r="D66" s="67" t="inlineStr">
        <is>
          <t>6800</t>
        </is>
      </c>
      <c r="E66" s="62" t="inlineStr">
        <is>
          <t>PO-2026-4335</t>
        </is>
      </c>
      <c r="F66" s="68" t="n">
        <v>54717.31</v>
      </c>
    </row>
    <row r="67" ht="15" customHeight="1">
      <c r="A67" s="62" t="inlineStr">
        <is>
          <t>2026-03</t>
        </is>
      </c>
      <c r="B67" s="66" t="inlineStr">
        <is>
          <t>HR Partners BV</t>
        </is>
      </c>
      <c r="C67" s="62" t="inlineStr">
        <is>
          <t>Maintenance</t>
        </is>
      </c>
      <c r="D67" s="67" t="inlineStr">
        <is>
          <t>6800</t>
        </is>
      </c>
      <c r="E67" s="62" t="inlineStr">
        <is>
          <t>PO-2026-3146</t>
        </is>
      </c>
      <c r="F67" s="68" t="n">
        <v>140597.46</v>
      </c>
    </row>
    <row r="68" ht="15" customHeight="1">
      <c r="A68" s="62" t="inlineStr">
        <is>
          <t>2026-04</t>
        </is>
      </c>
      <c r="B68" s="66" t="inlineStr">
        <is>
          <t>HR Partners BV</t>
        </is>
      </c>
      <c r="C68" s="62" t="inlineStr">
        <is>
          <t>Maintenance</t>
        </is>
      </c>
      <c r="D68" s="67" t="inlineStr">
        <is>
          <t>6800</t>
        </is>
      </c>
      <c r="E68" s="62" t="inlineStr">
        <is>
          <t>PO-2026-8178</t>
        </is>
      </c>
      <c r="F68" s="68" t="n">
        <v>134510.06</v>
      </c>
    </row>
    <row r="69" ht="15" customHeight="1">
      <c r="A69" s="62" t="inlineStr">
        <is>
          <t>2026-05</t>
        </is>
      </c>
      <c r="B69" s="66" t="inlineStr">
        <is>
          <t>HR Partners BV</t>
        </is>
      </c>
      <c r="C69" s="62" t="inlineStr">
        <is>
          <t>Maintenance</t>
        </is>
      </c>
      <c r="D69" s="67" t="inlineStr">
        <is>
          <t>6800</t>
        </is>
      </c>
      <c r="E69" s="62" t="inlineStr">
        <is>
          <t>PO-2026-8941</t>
        </is>
      </c>
      <c r="F69" s="68" t="n">
        <v>35785.39</v>
      </c>
    </row>
    <row r="70" ht="15" customHeight="1">
      <c r="A70" s="62" t="inlineStr">
        <is>
          <t>2026-06</t>
        </is>
      </c>
      <c r="B70" s="66" t="inlineStr">
        <is>
          <t>HR Partners BV</t>
        </is>
      </c>
      <c r="C70" s="62" t="inlineStr">
        <is>
          <t>Maintenance</t>
        </is>
      </c>
      <c r="D70" s="67" t="inlineStr">
        <is>
          <t>6800</t>
        </is>
      </c>
      <c r="E70" s="62" t="inlineStr">
        <is>
          <t>PO-2026-4920</t>
        </is>
      </c>
      <c r="F70" s="68" t="n">
        <v>112271.77</v>
      </c>
    </row>
    <row r="71" ht="15" customHeight="1">
      <c r="A71" s="62" t="inlineStr">
        <is>
          <t>2026-07</t>
        </is>
      </c>
      <c r="B71" s="66" t="inlineStr">
        <is>
          <t>HR Partners BV</t>
        </is>
      </c>
      <c r="C71" s="62" t="inlineStr">
        <is>
          <t>Maintenance</t>
        </is>
      </c>
      <c r="D71" s="67" t="inlineStr">
        <is>
          <t>6800</t>
        </is>
      </c>
      <c r="E71" s="62" t="inlineStr">
        <is>
          <t>PO-2026-6091</t>
        </is>
      </c>
      <c r="F71" s="68" t="n">
        <v>91609.07000000001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Overdue (EUR)</t>
        </is>
      </c>
      <c r="D1" t="inlineStr">
        <is>
          <t>Supplier</t>
        </is>
      </c>
      <c r="E1" t="inlineStr">
        <is>
          <t>Overdue (EUR)</t>
        </is>
      </c>
      <c r="G1" t="inlineStr">
        <is>
          <t>Month</t>
        </is>
      </c>
      <c r="H1" t="inlineStr">
        <is>
          <t>Invoiced (EUR)</t>
        </is>
      </c>
    </row>
    <row r="2">
      <c r="A2">
        <f>IFERROR(INDEX(VENDMAST_Data[Supplier Name],1),"")</f>
        <v/>
      </c>
      <c r="B2">
        <f>IF(A2="","",SUMIFS(GL_Data[Amount (EUR)],GL_Data[Supplier Name],A2,GL_Data[Status],"Overdue"))</f>
        <v/>
      </c>
      <c r="D2">
        <f>IFERROR(INDEX($A$2:$A$11,MATCH(LARGE($B$2:$B$11,1),$B$2:$B$11,0)),"")</f>
        <v/>
      </c>
      <c r="E2" s="69">
        <f>IFERROR(LARGE($B$2:$B$11,1),0)</f>
        <v/>
      </c>
      <c r="G2" s="70">
        <f>DATE(2026,1,1)</f>
        <v/>
      </c>
      <c r="H2" s="69">
        <f>SUMPRODUCT((YEAR(GL_Data[Invoice Date])=YEAR(G2))*(MONTH(GL_Data[Invoice Date])=MONTH(G2))*GL_Data[Amount (EUR)])</f>
        <v/>
      </c>
    </row>
    <row r="3">
      <c r="A3">
        <f>IFERROR(INDEX(VENDMAST_Data[Supplier Name],2),"")</f>
        <v/>
      </c>
      <c r="B3">
        <f>IF(A3="","",SUMIFS(GL_Data[Amount (EUR)],GL_Data[Supplier Name],A3,GL_Data[Status],"Overdue"))</f>
        <v/>
      </c>
      <c r="D3">
        <f>IFERROR(INDEX($A$2:$A$11,MATCH(LARGE($B$2:$B$11,2),$B$2:$B$11,0)),"")</f>
        <v/>
      </c>
      <c r="E3" s="69">
        <f>IFERROR(LARGE($B$2:$B$11,2),0)</f>
        <v/>
      </c>
      <c r="G3" s="70">
        <f>EDATE(G2,1)</f>
        <v/>
      </c>
      <c r="H3" s="69">
        <f>SUMPRODUCT((YEAR(GL_Data[Invoice Date])=YEAR(G3))*(MONTH(GL_Data[Invoice Date])=MONTH(G3))*GL_Data[Amount (EUR)])</f>
        <v/>
      </c>
    </row>
    <row r="4">
      <c r="A4">
        <f>IFERROR(INDEX(VENDMAST_Data[Supplier Name],3),"")</f>
        <v/>
      </c>
      <c r="B4">
        <f>IF(A4="","",SUMIFS(GL_Data[Amount (EUR)],GL_Data[Supplier Name],A4,GL_Data[Status],"Overdue"))</f>
        <v/>
      </c>
      <c r="D4">
        <f>IFERROR(INDEX($A$2:$A$11,MATCH(LARGE($B$2:$B$11,3),$B$2:$B$11,0)),"")</f>
        <v/>
      </c>
      <c r="E4" s="69">
        <f>IFERROR(LARGE($B$2:$B$11,3),0)</f>
        <v/>
      </c>
      <c r="G4" s="70">
        <f>EDATE(G3,1)</f>
        <v/>
      </c>
      <c r="H4" s="69">
        <f>SUMPRODUCT((YEAR(GL_Data[Invoice Date])=YEAR(G4))*(MONTH(GL_Data[Invoice Date])=MONTH(G4))*GL_Data[Amount (EUR)])</f>
        <v/>
      </c>
    </row>
    <row r="5">
      <c r="A5">
        <f>IFERROR(INDEX(VENDMAST_Data[Supplier Name],4),"")</f>
        <v/>
      </c>
      <c r="B5">
        <f>IF(A5="","",SUMIFS(GL_Data[Amount (EUR)],GL_Data[Supplier Name],A5,GL_Data[Status],"Overdue"))</f>
        <v/>
      </c>
      <c r="D5">
        <f>IFERROR(INDEX($A$2:$A$11,MATCH(LARGE($B$2:$B$11,4),$B$2:$B$11,0)),"")</f>
        <v/>
      </c>
      <c r="E5" s="69">
        <f>IFERROR(LARGE($B$2:$B$11,4),0)</f>
        <v/>
      </c>
      <c r="G5" s="70">
        <f>EDATE(G4,1)</f>
        <v/>
      </c>
      <c r="H5" s="69">
        <f>SUMPRODUCT((YEAR(GL_Data[Invoice Date])=YEAR(G5))*(MONTH(GL_Data[Invoice Date])=MONTH(G5))*GL_Data[Amount (EUR)])</f>
        <v/>
      </c>
    </row>
    <row r="6">
      <c r="A6">
        <f>IFERROR(INDEX(VENDMAST_Data[Supplier Name],5),"")</f>
        <v/>
      </c>
      <c r="B6">
        <f>IF(A6="","",SUMIFS(GL_Data[Amount (EUR)],GL_Data[Supplier Name],A6,GL_Data[Status],"Overdue"))</f>
        <v/>
      </c>
      <c r="D6">
        <f>IFERROR(INDEX($A$2:$A$11,MATCH(LARGE($B$2:$B$11,5),$B$2:$B$11,0)),"")</f>
        <v/>
      </c>
      <c r="E6" s="69">
        <f>IFERROR(LARGE($B$2:$B$11,5),0)</f>
        <v/>
      </c>
      <c r="G6" s="70">
        <f>EDATE(G5,1)</f>
        <v/>
      </c>
      <c r="H6" s="69">
        <f>SUMPRODUCT((YEAR(GL_Data[Invoice Date])=YEAR(G6))*(MONTH(GL_Data[Invoice Date])=MONTH(G6))*GL_Data[Amount (EUR)])</f>
        <v/>
      </c>
    </row>
    <row r="7">
      <c r="A7">
        <f>IFERROR(INDEX(VENDMAST_Data[Supplier Name],6),"")</f>
        <v/>
      </c>
      <c r="B7">
        <f>IF(A7="","",SUMIFS(GL_Data[Amount (EUR)],GL_Data[Supplier Name],A7,GL_Data[Status],"Overdue"))</f>
        <v/>
      </c>
      <c r="G7" s="70">
        <f>EDATE(G6,1)</f>
        <v/>
      </c>
      <c r="H7" s="69">
        <f>SUMPRODUCT((YEAR(GL_Data[Invoice Date])=YEAR(G7))*(MONTH(GL_Data[Invoice Date])=MONTH(G7))*GL_Data[Amount (EUR)])</f>
        <v/>
      </c>
    </row>
    <row r="8">
      <c r="A8">
        <f>IFERROR(INDEX(VENDMAST_Data[Supplier Name],7),"")</f>
        <v/>
      </c>
      <c r="B8">
        <f>IF(A8="","",SUMIFS(GL_Data[Amount (EUR)],GL_Data[Supplier Name],A8,GL_Data[Status],"Overdue"))</f>
        <v/>
      </c>
      <c r="G8" s="70">
        <f>EDATE(G7,1)</f>
        <v/>
      </c>
      <c r="H8" s="69">
        <f>SUMPRODUCT((YEAR(GL_Data[Invoice Date])=YEAR(G8))*(MONTH(GL_Data[Invoice Date])=MONTH(G8))*GL_Data[Amount (EUR)])</f>
        <v/>
      </c>
    </row>
    <row r="9">
      <c r="A9">
        <f>IFERROR(INDEX(VENDMAST_Data[Supplier Name],8),"")</f>
        <v/>
      </c>
      <c r="B9">
        <f>IF(A9="","",SUMIFS(GL_Data[Amount (EUR)],GL_Data[Supplier Name],A9,GL_Data[Status],"Overdue"))</f>
        <v/>
      </c>
    </row>
    <row r="10">
      <c r="A10">
        <f>IFERROR(INDEX(VENDMAST_Data[Supplier Name],9),"")</f>
        <v/>
      </c>
      <c r="B10">
        <f>IF(A10="","",SUMIFS(GL_Data[Amount (EUR)],GL_Data[Supplier Name],A10,GL_Data[Status],"Overdue"))</f>
        <v/>
      </c>
    </row>
    <row r="11">
      <c r="A11">
        <f>IFERROR(INDEX(VENDMAST_Data[Supplier Name],10),"")</f>
        <v/>
      </c>
      <c r="B11">
        <f>IF(A11="","",SUMIFS(GL_Data[Amount (EUR)],GL_Data[Supplier Name],A11,GL_Data[Status],"Overdue"))</f>
        <v/>
      </c>
    </row>
    <row r="15">
      <c r="A15">
        <f>SORT(FILTER(CHOOSE({1,2,3,4,5,6,7},GL_Data[Supplier Name],GL_Data[Category],GL_Data[Invoice Date],GL_Data[Due Date],GL_Data[Days Past Due],GL_Data[Amount (EUR)],GL_Data[Status]),GL_Data[Status]="Overdue"),5,-1)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2026-07-26T17:48:51Z</dcterms:created>
  <dcterms:modified xsi:type="dcterms:W3CDTF">2026-07-26T17:48:51Z</dcterms:modified>
</cp:coreProperties>
</file>